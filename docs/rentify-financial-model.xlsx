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<sst xmlns="http://schemas.openxmlformats.org/spreadsheetml/2006/main" count="152" uniqueCount="109">
  <si>
    <t xml:space="preserve">Rentify - three-year financial model (bottom-up, v2, Sept 2026)</t>
  </si>
  <si>
    <t xml:space="preserve">Blue = input you can change. Black = formula. Yellow = key assumption to test in the pilot. Years start with the public launch in 2027; the Q4 2026 pilot is covered by Year 1 costs.</t>
  </si>
  <si>
    <t xml:space="preserve">INPUTS - shops</t>
  </si>
  <si>
    <t xml:space="preserve">Year 1 (2027)</t>
  </si>
  <si>
    <t xml:space="preserve">Year 2 (2028)</t>
  </si>
  <si>
    <t xml:space="preserve">Year 3 (2029)</t>
  </si>
  <si>
    <t xml:space="preserve">Basis / source</t>
  </si>
  <si>
    <t xml:space="preserve">Average paying shops</t>
  </si>
  <si>
    <t xml:space="preserve">Yearly average from the team's 36-month model (its subscription revenue / US$60). Unchanged, so the market slides stay consistent.</t>
  </si>
  <si>
    <t xml:space="preserve">Average plan price ($/shop/month)</t>
  </si>
  <si>
    <t xml:space="preserve">Starter $5 / Pro $10; $5 average is conservative. Proposed prices, to test in the pilot.</t>
  </si>
  <si>
    <t xml:space="preserve">Free-plan shops per paying shop</t>
  </si>
  <si>
    <t xml:space="preserve">Assumption: one marketplace-only Free shop for every paying shop. They pay no subscription but can pay commission.</t>
  </si>
  <si>
    <t xml:space="preserve">INPUTS - marketplace commission (commission scenario only)</t>
  </si>
  <si>
    <t xml:space="preserve">Months with online payments</t>
  </si>
  <si>
    <t xml:space="preserve">Online (KHQR) payments and commission start mid-2027 (roadmap). Cash-on-delivery orders earn no commission.</t>
  </si>
  <si>
    <t xml:space="preserve">Share of shops getting marketplace orders</t>
  </si>
  <si>
    <t xml:space="preserve">Assumption: half of all shops receive at least some marketplace-sourced orders.</t>
  </si>
  <si>
    <t xml:space="preserve">Marketplace orders per such shop per month</t>
  </si>
  <si>
    <t xml:space="preserve">Assumption: grows as buyers discover more shops. Measure in the pilot.</t>
  </si>
  <si>
    <t xml:space="preserve">Average marketplace order value ($)</t>
  </si>
  <si>
    <t xml:space="preserve">Assumption for fashion/beauty/home goods. Measure in the pilot.</t>
  </si>
  <si>
    <t xml:space="preserve">Commission rate</t>
  </si>
  <si>
    <t xml:space="preserve">Proposed 3% on marketplace-sourced orders only; 0% on the shop's own storefront and counter sales.</t>
  </si>
  <si>
    <t xml:space="preserve">Payment cost (% of marketplace sales)</t>
  </si>
  <si>
    <t xml:space="preserve">Blended estimate: ABA-to-ABA KHQR reportedly free; interbank and card payments cost more. Confirm with ABA PayWay.</t>
  </si>
  <si>
    <t xml:space="preserve">INPUTS - infrastructure ($/month)</t>
  </si>
  <si>
    <t xml:space="preserve">App servers (DigitalOcean droplets, Singapore)</t>
  </si>
  <si>
    <t xml:space="preserve">Y1: 1 x 2 vCPU/4 GB ($24). Y2: 2 x 4 GB. Y3: 2 x 4 vCPU/8 GB ($48 each). Docker runs on these; Docker itself is free. digitalocean.com/pricing/droplets</t>
  </si>
  <si>
    <t xml:space="preserve">Managed PostgreSQL database</t>
  </si>
  <si>
    <t xml:space="preserve">Y1: 1 GB plan ($15). Y2: 1 vCPU/2 GB ($30.45). Y3: ~4 GB plan (estimate, about double). digitalocean.com/pricing/managed-databases</t>
  </si>
  <si>
    <t xml:space="preserve">Product photo storage (Spaces)</t>
  </si>
  <si>
    <t xml:space="preserve">$5/month includes 250 GiB; extra $0.02/GiB. docs.digitalocean.com/products/spaces/details/pricing</t>
  </si>
  <si>
    <t xml:space="preserve">Server backups</t>
  </si>
  <si>
    <t xml:space="preserve">Estimate: about 20% of droplet cost for weekly backups.</t>
  </si>
  <si>
    <t xml:space="preserve">Transactional email (Resend)</t>
  </si>
  <si>
    <t xml:space="preserve">Free up to 3,000 emails/month; Pro $20 for 50,000. resend.com/pricing</t>
  </si>
  <si>
    <t xml:space="preserve">Load balancer</t>
  </si>
  <si>
    <t xml:space="preserve">Estimate for a small DigitalOcean load balancer once two app servers share traffic.</t>
  </si>
  <si>
    <t xml:space="preserve">Domain and DNS</t>
  </si>
  <si>
    <t xml:space="preserve">About $15/year. SSL is free (Let's Encrypt). Merchants buy their own custom domains.</t>
  </si>
  <si>
    <t xml:space="preserve">INPUTS - team</t>
  </si>
  <si>
    <t xml:space="preserve">Full-time founders</t>
  </si>
  <si>
    <t xml:space="preserve">3 full-time founders; the other 2 team members are part-time and paid in equity only.</t>
  </si>
  <si>
    <t xml:space="preserve">Founder allowance ($/founder/month)</t>
  </si>
  <si>
    <t xml:space="preserve">Founders hold equity, so pay is low: transport and phone in Y1, then a small allowance. Cambodia's 2026 garment minimum wage is $210/month for reference.</t>
  </si>
  <si>
    <t xml:space="preserve">Onboarding/support staff (people)</t>
  </si>
  <si>
    <t xml:space="preserve">Founders do onboarding and support until Year 3.</t>
  </si>
  <si>
    <t xml:space="preserve">Staff salary ($/month)</t>
  </si>
  <si>
    <t xml:space="preserve">Cambodian customer-support roles are reported at about $450-900/month.</t>
  </si>
  <si>
    <t xml:space="preserve">INPUTS - sales and marketing</t>
  </si>
  <si>
    <t xml:space="preserve">Facebook ads ($/month)</t>
  </si>
  <si>
    <t xml:space="preserve">Assumption: small targeted budget that grows with the business.</t>
  </si>
  <si>
    <t xml:space="preserve">Printed QR stands and flyers ($/year)</t>
  </si>
  <si>
    <t xml:space="preserve">Assumption.</t>
  </si>
  <si>
    <t xml:space="preserve">Festival and category campaigns ($/year)</t>
  </si>
  <si>
    <t xml:space="preserve">Assumption, e.g. Khmer New Year campaigns.</t>
  </si>
  <si>
    <t xml:space="preserve">Referral credit per referred paying shop ($)</t>
  </si>
  <si>
    <t xml:space="preserve">One month free for the shop that refers another.</t>
  </si>
  <si>
    <t xml:space="preserve">Share of new paying shops that come by referral</t>
  </si>
  <si>
    <t xml:space="preserve">INPUTS - software, office, legal and tax</t>
  </si>
  <si>
    <t xml:space="preserve">AI tools ($/founder/month)</t>
  </si>
  <si>
    <t xml:space="preserve">Claude Pro or ChatGPT Plus, about $20/month each. Code hosting (GitHub) and design tools use free plans.</t>
  </si>
  <si>
    <t xml:space="preserve">Company registration (one-off)</t>
  </si>
  <si>
    <t xml:space="preserve">Ministry of Commerce fee about KHR 2,155,000 (~$540) plus ~$300 notary/legal help. Year 1 only.</t>
  </si>
  <si>
    <t xml:space="preserve">Bookkeeping and tax filing ($/month)</t>
  </si>
  <si>
    <t xml:space="preserve">Founders in Y1; outsourced accountant from Y2 (assumption).</t>
  </si>
  <si>
    <t xml:space="preserve">Coworking desk ($/month)</t>
  </si>
  <si>
    <t xml:space="preserve">Remote/university space until Year 3 (assumption).</t>
  </si>
  <si>
    <t xml:space="preserve">Tax on profit</t>
  </si>
  <si>
    <t xml:space="preserve">Cambodia standard rate 20%. Losses carried forward.</t>
  </si>
  <si>
    <t xml:space="preserve">Minimum tax (% of revenue)</t>
  </si>
  <si>
    <t xml:space="preserve">Cambodia: 1% of turnover if higher than profit tax. Included to be conservative; startup exemptions may apply.</t>
  </si>
  <si>
    <t xml:space="preserve">Market salary check ($/founder/month)</t>
  </si>
  <si>
    <t xml:space="preserve">Used only in the sensitivity row: what if founders were paid a typical Phnom Penh developer salary (~$1,000-1,400/month)?</t>
  </si>
  <si>
    <t xml:space="preserve">CALCULATIONS</t>
  </si>
  <si>
    <t xml:space="preserve">Free-plan shops</t>
  </si>
  <si>
    <t xml:space="preserve">New paying shops in the year</t>
  </si>
  <si>
    <t xml:space="preserve">Increase in average paying shops (Year 1 starts from zero).</t>
  </si>
  <si>
    <t xml:space="preserve">Marketplace sales through Rentify (GMV)</t>
  </si>
  <si>
    <t xml:space="preserve">Sales value of marketplace orders, not Rentify revenue.</t>
  </si>
  <si>
    <t xml:space="preserve">Infrastructure cost ($/year)</t>
  </si>
  <si>
    <t xml:space="preserve">P&amp;L - BASE CASE (subscriptions only)</t>
  </si>
  <si>
    <t xml:space="preserve">Subscription revenue</t>
  </si>
  <si>
    <t xml:space="preserve">Cost of service (infrastructure)</t>
  </si>
  <si>
    <t xml:space="preserve">Gross profit</t>
  </si>
  <si>
    <t xml:space="preserve">Team</t>
  </si>
  <si>
    <t xml:space="preserve">Sales &amp; marketing</t>
  </si>
  <si>
    <t xml:space="preserve">Software, office, legal</t>
  </si>
  <si>
    <t xml:space="preserve">Result before tax</t>
  </si>
  <si>
    <t xml:space="preserve">Cumulative result before tax</t>
  </si>
  <si>
    <t xml:space="preserve">Tax</t>
  </si>
  <si>
    <t xml:space="preserve">Higher of minimum tax and profit tax; profit tax only on profit left after earlier losses.</t>
  </si>
  <si>
    <t xml:space="preserve">Net result</t>
  </si>
  <si>
    <t xml:space="preserve">Cumulative net result</t>
  </si>
  <si>
    <t xml:space="preserve">P&amp;L - WITH 3% COMMISSION (upside scenario)</t>
  </si>
  <si>
    <t xml:space="preserve">Commission revenue</t>
  </si>
  <si>
    <t xml:space="preserve">Total revenue</t>
  </si>
  <si>
    <t xml:space="preserve">Cost of service (infrastructure + payment cost)</t>
  </si>
  <si>
    <t xml:space="preserve">Operating costs (same as base)</t>
  </si>
  <si>
    <t xml:space="preserve">KEY FIGURES</t>
  </si>
  <si>
    <t xml:space="preserve">Break-even paying shops (base case, that year's costs)</t>
  </si>
  <si>
    <t xml:space="preserve">Yearly fixed costs / yearly subscription per shop. Infrastructure is treated as fixed at this scale.</t>
  </si>
  <si>
    <t xml:space="preserve">Break-even as share of SAM (65,433 stores)</t>
  </si>
  <si>
    <t xml:space="preserve">NIS Economic Census 2022, ISIC 4741-4774.</t>
  </si>
  <si>
    <t xml:space="preserve">Funding needed (largest cumulative loss, base case)</t>
  </si>
  <si>
    <t xml:space="preserve">Cash the team must raise (prize money, grants, savings) before profits cover costs.</t>
  </si>
  <si>
    <t xml:space="preserve">Sensitivity: net result if founders earned market salary</t>
  </si>
  <si>
    <t xml:space="preserve">Approximate: base-case net result with founder pay raised to the market-salary check. Shows the model does not depend on unpaid work forever.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</si>
</sst>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\(#,##0.0\);\-"/>
    <numFmt numFmtId="166" formatCode="\$#,##0.00;&quot;($&quot;#,##0.00\);\-"/>
    <numFmt numFmtId="167" formatCode="0.0"/>
    <numFmt numFmtId="168" formatCode="#,##0;\(#,##0\);\-"/>
    <numFmt numFmtId="169" formatCode="0.0%;\(0.0%\);\-"/>
    <numFmt numFmtId="170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2637A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D35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E1E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7E1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3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3"/>
    <col collapsed="false" customWidth="true" hidden="false" outlineLevel="0" max="5" min="5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3" t="s">
        <v>6</v>
      </c>
    </row>
    <row r="5" customFormat="false" ht="26.85" hidden="false" customHeight="false" outlineLevel="0" collapsed="false">
      <c r="A5" s="5" t="s">
        <v>7</v>
      </c>
      <c r="B5" s="6" t="n">
        <v>57.6</v>
      </c>
      <c r="C5" s="6" t="n">
        <v>418.85</v>
      </c>
      <c r="D5" s="6" t="n">
        <v>1129.07</v>
      </c>
      <c r="E5" s="7" t="s">
        <v>8</v>
      </c>
    </row>
    <row r="6" customFormat="false" ht="15" hidden="false" customHeight="false" outlineLevel="0" collapsed="false">
      <c r="A6" s="5" t="s">
        <v>9</v>
      </c>
      <c r="B6" s="8" t="n">
        <v>5</v>
      </c>
      <c r="C6" s="8" t="n">
        <v>5</v>
      </c>
      <c r="D6" s="8" t="n">
        <v>5</v>
      </c>
      <c r="E6" s="7" t="s">
        <v>10</v>
      </c>
    </row>
    <row r="7" customFormat="false" ht="15" hidden="false" customHeight="false" outlineLevel="0" collapsed="false">
      <c r="A7" s="5" t="s">
        <v>11</v>
      </c>
      <c r="B7" s="9" t="n">
        <v>1</v>
      </c>
      <c r="C7" s="9" t="n">
        <v>1</v>
      </c>
      <c r="D7" s="9" t="n">
        <v>1</v>
      </c>
      <c r="E7" s="7" t="s">
        <v>12</v>
      </c>
    </row>
    <row r="9" customFormat="false" ht="15" hidden="false" customHeight="false" outlineLevel="0" collapsed="false">
      <c r="A9" s="3" t="s">
        <v>13</v>
      </c>
      <c r="B9" s="4" t="s">
        <v>3</v>
      </c>
      <c r="C9" s="4" t="s">
        <v>4</v>
      </c>
      <c r="D9" s="4" t="s">
        <v>5</v>
      </c>
      <c r="E9" s="3" t="s">
        <v>6</v>
      </c>
    </row>
    <row r="10" customFormat="false" ht="15" hidden="false" customHeight="false" outlineLevel="0" collapsed="false">
      <c r="A10" s="5" t="s">
        <v>14</v>
      </c>
      <c r="B10" s="10" t="n">
        <v>6</v>
      </c>
      <c r="C10" s="10" t="n">
        <v>12</v>
      </c>
      <c r="D10" s="10" t="n">
        <v>12</v>
      </c>
      <c r="E10" s="7" t="s">
        <v>15</v>
      </c>
    </row>
    <row r="11" customFormat="false" ht="15" hidden="false" customHeight="false" outlineLevel="0" collapsed="false">
      <c r="A11" s="5" t="s">
        <v>16</v>
      </c>
      <c r="B11" s="11" t="n">
        <v>0.5</v>
      </c>
      <c r="C11" s="11" t="n">
        <v>0.5</v>
      </c>
      <c r="D11" s="11" t="n">
        <v>0.5</v>
      </c>
      <c r="E11" s="7" t="s">
        <v>17</v>
      </c>
    </row>
    <row r="12" customFormat="false" ht="15" hidden="false" customHeight="false" outlineLevel="0" collapsed="false">
      <c r="A12" s="5" t="s">
        <v>18</v>
      </c>
      <c r="B12" s="12" t="n">
        <v>2</v>
      </c>
      <c r="C12" s="12" t="n">
        <v>3</v>
      </c>
      <c r="D12" s="12" t="n">
        <v>4</v>
      </c>
      <c r="E12" s="7" t="s">
        <v>19</v>
      </c>
    </row>
    <row r="13" customFormat="false" ht="15" hidden="false" customHeight="false" outlineLevel="0" collapsed="false">
      <c r="A13" s="5" t="s">
        <v>20</v>
      </c>
      <c r="B13" s="8" t="n">
        <v>15</v>
      </c>
      <c r="C13" s="8" t="n">
        <v>15</v>
      </c>
      <c r="D13" s="8" t="n">
        <v>15</v>
      </c>
      <c r="E13" s="7" t="s">
        <v>21</v>
      </c>
    </row>
    <row r="14" customFormat="false" ht="15" hidden="false" customHeight="false" outlineLevel="0" collapsed="false">
      <c r="A14" s="5" t="s">
        <v>22</v>
      </c>
      <c r="B14" s="11" t="n">
        <v>0.03</v>
      </c>
      <c r="C14" s="11" t="n">
        <v>0.03</v>
      </c>
      <c r="D14" s="11" t="n">
        <v>0.03</v>
      </c>
      <c r="E14" s="7" t="s">
        <v>23</v>
      </c>
    </row>
    <row r="15" customFormat="false" ht="15" hidden="false" customHeight="false" outlineLevel="0" collapsed="false">
      <c r="A15" s="5" t="s">
        <v>24</v>
      </c>
      <c r="B15" s="13" t="n">
        <v>0.005</v>
      </c>
      <c r="C15" s="13" t="n">
        <v>0.005</v>
      </c>
      <c r="D15" s="13" t="n">
        <v>0.005</v>
      </c>
      <c r="E15" s="7" t="s">
        <v>25</v>
      </c>
    </row>
    <row r="17" customFormat="false" ht="15" hidden="false" customHeight="false" outlineLevel="0" collapsed="false">
      <c r="A17" s="3" t="s">
        <v>26</v>
      </c>
      <c r="B17" s="4" t="s">
        <v>3</v>
      </c>
      <c r="C17" s="4" t="s">
        <v>4</v>
      </c>
      <c r="D17" s="4" t="s">
        <v>5</v>
      </c>
      <c r="E17" s="3" t="s">
        <v>6</v>
      </c>
    </row>
    <row r="18" customFormat="false" ht="26.85" hidden="false" customHeight="false" outlineLevel="0" collapsed="false">
      <c r="A18" s="5" t="s">
        <v>27</v>
      </c>
      <c r="B18" s="14" t="n">
        <v>24</v>
      </c>
      <c r="C18" s="14" t="n">
        <v>48</v>
      </c>
      <c r="D18" s="14" t="n">
        <v>96</v>
      </c>
      <c r="E18" s="7" t="s">
        <v>28</v>
      </c>
    </row>
    <row r="19" customFormat="false" ht="26.85" hidden="false" customHeight="false" outlineLevel="0" collapsed="false">
      <c r="A19" s="5" t="s">
        <v>29</v>
      </c>
      <c r="B19" s="14" t="n">
        <v>15</v>
      </c>
      <c r="C19" s="14" t="n">
        <v>30.45</v>
      </c>
      <c r="D19" s="14" t="n">
        <v>61</v>
      </c>
      <c r="E19" s="7" t="s">
        <v>30</v>
      </c>
    </row>
    <row r="20" customFormat="false" ht="15" hidden="false" customHeight="false" outlineLevel="0" collapsed="false">
      <c r="A20" s="5" t="s">
        <v>31</v>
      </c>
      <c r="B20" s="14" t="n">
        <v>5</v>
      </c>
      <c r="C20" s="14" t="n">
        <v>5</v>
      </c>
      <c r="D20" s="14" t="n">
        <v>10</v>
      </c>
      <c r="E20" s="7" t="s">
        <v>32</v>
      </c>
    </row>
    <row r="21" customFormat="false" ht="15" hidden="false" customHeight="false" outlineLevel="0" collapsed="false">
      <c r="A21" s="5" t="s">
        <v>33</v>
      </c>
      <c r="B21" s="14" t="n">
        <v>5</v>
      </c>
      <c r="C21" s="14" t="n">
        <v>10</v>
      </c>
      <c r="D21" s="14" t="n">
        <v>20</v>
      </c>
      <c r="E21" s="7" t="s">
        <v>34</v>
      </c>
    </row>
    <row r="22" customFormat="false" ht="15" hidden="false" customHeight="false" outlineLevel="0" collapsed="false">
      <c r="A22" s="5" t="s">
        <v>35</v>
      </c>
      <c r="B22" s="14" t="n">
        <v>0</v>
      </c>
      <c r="C22" s="14" t="n">
        <v>20</v>
      </c>
      <c r="D22" s="14" t="n">
        <v>20</v>
      </c>
      <c r="E22" s="7" t="s">
        <v>36</v>
      </c>
    </row>
    <row r="23" customFormat="false" ht="15" hidden="false" customHeight="false" outlineLevel="0" collapsed="false">
      <c r="A23" s="5" t="s">
        <v>37</v>
      </c>
      <c r="B23" s="14" t="n">
        <v>0</v>
      </c>
      <c r="C23" s="14" t="n">
        <v>0</v>
      </c>
      <c r="D23" s="14" t="n">
        <v>12</v>
      </c>
      <c r="E23" s="7" t="s">
        <v>38</v>
      </c>
    </row>
    <row r="24" customFormat="false" ht="15" hidden="false" customHeight="false" outlineLevel="0" collapsed="false">
      <c r="A24" s="5" t="s">
        <v>39</v>
      </c>
      <c r="B24" s="14" t="n">
        <v>1.25</v>
      </c>
      <c r="C24" s="14" t="n">
        <v>1.25</v>
      </c>
      <c r="D24" s="14" t="n">
        <v>1.25</v>
      </c>
      <c r="E24" s="7" t="s">
        <v>40</v>
      </c>
    </row>
    <row r="26" customFormat="false" ht="15" hidden="false" customHeight="false" outlineLevel="0" collapsed="false">
      <c r="A26" s="3" t="s">
        <v>41</v>
      </c>
      <c r="B26" s="4" t="s">
        <v>3</v>
      </c>
      <c r="C26" s="4" t="s">
        <v>4</v>
      </c>
      <c r="D26" s="4" t="s">
        <v>5</v>
      </c>
      <c r="E26" s="3" t="s">
        <v>6</v>
      </c>
    </row>
    <row r="27" customFormat="false" ht="15" hidden="false" customHeight="false" outlineLevel="0" collapsed="false">
      <c r="A27" s="5" t="s">
        <v>42</v>
      </c>
      <c r="B27" s="10" t="n">
        <v>3</v>
      </c>
      <c r="C27" s="10" t="n">
        <v>3</v>
      </c>
      <c r="D27" s="10" t="n">
        <v>3</v>
      </c>
      <c r="E27" s="7" t="s">
        <v>43</v>
      </c>
    </row>
    <row r="28" customFormat="false" ht="26.85" hidden="false" customHeight="false" outlineLevel="0" collapsed="false">
      <c r="A28" s="5" t="s">
        <v>44</v>
      </c>
      <c r="B28" s="15" t="n">
        <v>100</v>
      </c>
      <c r="C28" s="15" t="n">
        <v>300</v>
      </c>
      <c r="D28" s="15" t="n">
        <v>500</v>
      </c>
      <c r="E28" s="7" t="s">
        <v>45</v>
      </c>
    </row>
    <row r="29" customFormat="false" ht="15" hidden="false" customHeight="false" outlineLevel="0" collapsed="false">
      <c r="A29" s="5" t="s">
        <v>46</v>
      </c>
      <c r="B29" s="10" t="n">
        <v>0</v>
      </c>
      <c r="C29" s="10" t="n">
        <v>0</v>
      </c>
      <c r="D29" s="10" t="n">
        <v>1</v>
      </c>
      <c r="E29" s="7" t="s">
        <v>47</v>
      </c>
    </row>
    <row r="30" customFormat="false" ht="15" hidden="false" customHeight="false" outlineLevel="0" collapsed="false">
      <c r="A30" s="5" t="s">
        <v>48</v>
      </c>
      <c r="B30" s="16" t="n">
        <v>500</v>
      </c>
      <c r="C30" s="16" t="n">
        <v>500</v>
      </c>
      <c r="D30" s="16" t="n">
        <v>500</v>
      </c>
      <c r="E30" s="7" t="s">
        <v>49</v>
      </c>
    </row>
    <row r="32" customFormat="false" ht="15" hidden="false" customHeight="false" outlineLevel="0" collapsed="false">
      <c r="A32" s="3" t="s">
        <v>50</v>
      </c>
      <c r="B32" s="4" t="s">
        <v>3</v>
      </c>
      <c r="C32" s="4" t="s">
        <v>4</v>
      </c>
      <c r="D32" s="4" t="s">
        <v>5</v>
      </c>
      <c r="E32" s="3" t="s">
        <v>6</v>
      </c>
    </row>
    <row r="33" customFormat="false" ht="15" hidden="false" customHeight="false" outlineLevel="0" collapsed="false">
      <c r="A33" s="5" t="s">
        <v>51</v>
      </c>
      <c r="B33" s="16" t="n">
        <v>100</v>
      </c>
      <c r="C33" s="16" t="n">
        <v>300</v>
      </c>
      <c r="D33" s="16" t="n">
        <v>600</v>
      </c>
      <c r="E33" s="7" t="s">
        <v>52</v>
      </c>
    </row>
    <row r="34" customFormat="false" ht="15" hidden="false" customHeight="false" outlineLevel="0" collapsed="false">
      <c r="A34" s="5" t="s">
        <v>53</v>
      </c>
      <c r="B34" s="16" t="n">
        <v>200</v>
      </c>
      <c r="C34" s="16" t="n">
        <v>500</v>
      </c>
      <c r="D34" s="16" t="n">
        <v>800</v>
      </c>
      <c r="E34" s="7" t="s">
        <v>54</v>
      </c>
    </row>
    <row r="35" customFormat="false" ht="15" hidden="false" customHeight="false" outlineLevel="0" collapsed="false">
      <c r="A35" s="5" t="s">
        <v>55</v>
      </c>
      <c r="B35" s="16" t="n">
        <v>0</v>
      </c>
      <c r="C35" s="16" t="n">
        <v>500</v>
      </c>
      <c r="D35" s="16" t="n">
        <v>1000</v>
      </c>
      <c r="E35" s="7" t="s">
        <v>56</v>
      </c>
    </row>
    <row r="36" customFormat="false" ht="15" hidden="false" customHeight="false" outlineLevel="0" collapsed="false">
      <c r="A36" s="5" t="s">
        <v>57</v>
      </c>
      <c r="B36" s="16" t="n">
        <v>5</v>
      </c>
      <c r="C36" s="16" t="n">
        <v>5</v>
      </c>
      <c r="D36" s="16" t="n">
        <v>5</v>
      </c>
      <c r="E36" s="7" t="s">
        <v>58</v>
      </c>
    </row>
    <row r="37" customFormat="false" ht="15" hidden="false" customHeight="false" outlineLevel="0" collapsed="false">
      <c r="A37" s="5" t="s">
        <v>59</v>
      </c>
      <c r="B37" s="13" t="n">
        <v>0.2</v>
      </c>
      <c r="C37" s="13" t="n">
        <v>0.2</v>
      </c>
      <c r="D37" s="13" t="n">
        <v>0.2</v>
      </c>
      <c r="E37" s="7" t="s">
        <v>54</v>
      </c>
    </row>
    <row r="39" customFormat="false" ht="15" hidden="false" customHeight="false" outlineLevel="0" collapsed="false">
      <c r="A39" s="3" t="s">
        <v>60</v>
      </c>
      <c r="B39" s="4" t="s">
        <v>3</v>
      </c>
      <c r="C39" s="4" t="s">
        <v>4</v>
      </c>
      <c r="D39" s="4" t="s">
        <v>5</v>
      </c>
      <c r="E39" s="3" t="s">
        <v>6</v>
      </c>
    </row>
    <row r="40" customFormat="false" ht="15" hidden="false" customHeight="false" outlineLevel="0" collapsed="false">
      <c r="A40" s="5" t="s">
        <v>61</v>
      </c>
      <c r="B40" s="16" t="n">
        <v>20</v>
      </c>
      <c r="C40" s="16" t="n">
        <v>20</v>
      </c>
      <c r="D40" s="16" t="n">
        <v>20</v>
      </c>
      <c r="E40" s="7" t="s">
        <v>62</v>
      </c>
    </row>
    <row r="41" customFormat="false" ht="15" hidden="false" customHeight="false" outlineLevel="0" collapsed="false">
      <c r="A41" s="5" t="s">
        <v>63</v>
      </c>
      <c r="B41" s="16" t="n">
        <v>840</v>
      </c>
      <c r="C41" s="16" t="n">
        <v>0</v>
      </c>
      <c r="D41" s="16" t="n">
        <v>0</v>
      </c>
      <c r="E41" s="7" t="s">
        <v>64</v>
      </c>
    </row>
    <row r="42" customFormat="false" ht="15" hidden="false" customHeight="false" outlineLevel="0" collapsed="false">
      <c r="A42" s="5" t="s">
        <v>65</v>
      </c>
      <c r="B42" s="16" t="n">
        <v>0</v>
      </c>
      <c r="C42" s="16" t="n">
        <v>50</v>
      </c>
      <c r="D42" s="16" t="n">
        <v>100</v>
      </c>
      <c r="E42" s="7" t="s">
        <v>66</v>
      </c>
    </row>
    <row r="43" customFormat="false" ht="15" hidden="false" customHeight="false" outlineLevel="0" collapsed="false">
      <c r="A43" s="5" t="s">
        <v>67</v>
      </c>
      <c r="B43" s="16" t="n">
        <v>0</v>
      </c>
      <c r="C43" s="16" t="n">
        <v>0</v>
      </c>
      <c r="D43" s="16" t="n">
        <v>150</v>
      </c>
      <c r="E43" s="7" t="s">
        <v>68</v>
      </c>
    </row>
    <row r="44" customFormat="false" ht="15" hidden="false" customHeight="false" outlineLevel="0" collapsed="false">
      <c r="A44" s="5" t="s">
        <v>69</v>
      </c>
      <c r="B44" s="13" t="n">
        <v>0.2</v>
      </c>
      <c r="C44" s="13" t="n">
        <v>0.2</v>
      </c>
      <c r="D44" s="13" t="n">
        <v>0.2</v>
      </c>
      <c r="E44" s="7" t="s">
        <v>70</v>
      </c>
    </row>
    <row r="45" customFormat="false" ht="15" hidden="false" customHeight="false" outlineLevel="0" collapsed="false">
      <c r="A45" s="5" t="s">
        <v>71</v>
      </c>
      <c r="B45" s="13" t="n">
        <v>0.01</v>
      </c>
      <c r="C45" s="13" t="n">
        <v>0.01</v>
      </c>
      <c r="D45" s="13" t="n">
        <v>0.01</v>
      </c>
      <c r="E45" s="7" t="s">
        <v>72</v>
      </c>
    </row>
    <row r="46" customFormat="false" ht="15" hidden="false" customHeight="false" outlineLevel="0" collapsed="false">
      <c r="A46" s="5" t="s">
        <v>73</v>
      </c>
      <c r="B46" s="16" t="n">
        <v>1000</v>
      </c>
      <c r="C46" s="16" t="n">
        <v>1000</v>
      </c>
      <c r="D46" s="16" t="n">
        <v>1000</v>
      </c>
      <c r="E46" s="7" t="s">
        <v>74</v>
      </c>
    </row>
    <row r="48" customFormat="false" ht="15" hidden="false" customHeight="false" outlineLevel="0" collapsed="false">
      <c r="A48" s="3" t="s">
        <v>75</v>
      </c>
      <c r="B48" s="4" t="s">
        <v>3</v>
      </c>
      <c r="C48" s="4" t="s">
        <v>4</v>
      </c>
      <c r="D48" s="4" t="s">
        <v>5</v>
      </c>
      <c r="E48" s="3" t="s">
        <v>6</v>
      </c>
    </row>
    <row r="49" customFormat="false" ht="15" hidden="false" customHeight="false" outlineLevel="0" collapsed="false">
      <c r="A49" s="5" t="s">
        <v>76</v>
      </c>
      <c r="B49" s="17" t="n">
        <f aca="false">B5*B7</f>
        <v>57.6</v>
      </c>
      <c r="C49" s="17" t="n">
        <f aca="false">C5*C7</f>
        <v>418.85</v>
      </c>
      <c r="D49" s="17" t="n">
        <f aca="false">D5*D7</f>
        <v>1129.07</v>
      </c>
      <c r="E49" s="7"/>
    </row>
    <row r="50" customFormat="false" ht="15" hidden="false" customHeight="false" outlineLevel="0" collapsed="false">
      <c r="A50" s="5" t="s">
        <v>77</v>
      </c>
      <c r="B50" s="17" t="n">
        <f aca="false">B5</f>
        <v>57.6</v>
      </c>
      <c r="C50" s="17" t="n">
        <f aca="false">C5-B5</f>
        <v>361.25</v>
      </c>
      <c r="D50" s="17" t="n">
        <f aca="false">D5-C5</f>
        <v>710.22</v>
      </c>
      <c r="E50" s="7" t="s">
        <v>78</v>
      </c>
    </row>
    <row r="51" customFormat="false" ht="15" hidden="false" customHeight="false" outlineLevel="0" collapsed="false">
      <c r="A51" s="5" t="s">
        <v>79</v>
      </c>
      <c r="B51" s="18" t="n">
        <f aca="false">(B5+B49)*B11*B12*B13*B10</f>
        <v>10368</v>
      </c>
      <c r="C51" s="18" t="n">
        <f aca="false">(C5+C49)*C11*C12*C13*C10</f>
        <v>226179</v>
      </c>
      <c r="D51" s="18" t="n">
        <f aca="false">(D5+D49)*D11*D12*D13*D10</f>
        <v>812930.4</v>
      </c>
      <c r="E51" s="7" t="s">
        <v>80</v>
      </c>
    </row>
    <row r="52" customFormat="false" ht="15" hidden="false" customHeight="false" outlineLevel="0" collapsed="false">
      <c r="A52" s="5" t="s">
        <v>81</v>
      </c>
      <c r="B52" s="18" t="n">
        <f aca="false">(B18+B19+B20+B21+B22+B23+B24)*12</f>
        <v>603</v>
      </c>
      <c r="C52" s="18" t="n">
        <f aca="false">(C18+C19+C20+C21+C22+C23+C24)*12</f>
        <v>1376.4</v>
      </c>
      <c r="D52" s="18" t="n">
        <f aca="false">(D18+D19+D20+D21+D22+D23+D24)*12</f>
        <v>2643</v>
      </c>
      <c r="E52" s="7"/>
    </row>
    <row r="54" customFormat="false" ht="15" hidden="false" customHeight="false" outlineLevel="0" collapsed="false">
      <c r="A54" s="3" t="s">
        <v>82</v>
      </c>
      <c r="B54" s="4" t="s">
        <v>3</v>
      </c>
      <c r="C54" s="4" t="s">
        <v>4</v>
      </c>
      <c r="D54" s="4" t="s">
        <v>5</v>
      </c>
      <c r="E54" s="3" t="s">
        <v>6</v>
      </c>
    </row>
    <row r="55" customFormat="false" ht="15" hidden="false" customHeight="false" outlineLevel="0" collapsed="false">
      <c r="A55" s="5" t="s">
        <v>83</v>
      </c>
      <c r="B55" s="18" t="n">
        <f aca="false">B5*B6*12</f>
        <v>3456</v>
      </c>
      <c r="C55" s="18" t="n">
        <f aca="false">C5*C6*12</f>
        <v>25131</v>
      </c>
      <c r="D55" s="18" t="n">
        <f aca="false">D5*D6*12</f>
        <v>67744.2</v>
      </c>
      <c r="E55" s="7"/>
    </row>
    <row r="56" customFormat="false" ht="15" hidden="false" customHeight="false" outlineLevel="0" collapsed="false">
      <c r="A56" s="5" t="s">
        <v>84</v>
      </c>
      <c r="B56" s="18" t="n">
        <f aca="false">B52</f>
        <v>603</v>
      </c>
      <c r="C56" s="18" t="n">
        <f aca="false">C52</f>
        <v>1376.4</v>
      </c>
      <c r="D56" s="18" t="n">
        <f aca="false">D52</f>
        <v>2643</v>
      </c>
      <c r="E56" s="7"/>
    </row>
    <row r="57" customFormat="false" ht="15" hidden="false" customHeight="false" outlineLevel="0" collapsed="false">
      <c r="A57" s="19" t="s">
        <v>85</v>
      </c>
      <c r="B57" s="20" t="n">
        <f aca="false">B55-B56</f>
        <v>2853</v>
      </c>
      <c r="C57" s="20" t="n">
        <f aca="false">C55-C56</f>
        <v>23754.6</v>
      </c>
      <c r="D57" s="20" t="n">
        <f aca="false">D55-D56</f>
        <v>65101.2</v>
      </c>
      <c r="E57" s="7"/>
    </row>
    <row r="58" customFormat="false" ht="15" hidden="false" customHeight="false" outlineLevel="0" collapsed="false">
      <c r="A58" s="5" t="s">
        <v>86</v>
      </c>
      <c r="B58" s="18" t="n">
        <f aca="false">B27*B28*12+B29*B30*12</f>
        <v>3600</v>
      </c>
      <c r="C58" s="18" t="n">
        <f aca="false">C27*C28*12+C29*C30*12</f>
        <v>10800</v>
      </c>
      <c r="D58" s="18" t="n">
        <f aca="false">D27*D28*12+D29*D30*12</f>
        <v>24000</v>
      </c>
      <c r="E58" s="7"/>
    </row>
    <row r="59" customFormat="false" ht="15" hidden="false" customHeight="false" outlineLevel="0" collapsed="false">
      <c r="A59" s="5" t="s">
        <v>87</v>
      </c>
      <c r="B59" s="18" t="n">
        <f aca="false">B33*12+B34+B35+B50*B37*B36</f>
        <v>1457.6</v>
      </c>
      <c r="C59" s="18" t="n">
        <f aca="false">C33*12+C34+C35+C50*C37*C36</f>
        <v>4961.25</v>
      </c>
      <c r="D59" s="18" t="n">
        <f aca="false">D33*12+D34+D35+D50*D37*D36</f>
        <v>9710.22</v>
      </c>
      <c r="E59" s="7"/>
    </row>
    <row r="60" customFormat="false" ht="15" hidden="false" customHeight="false" outlineLevel="0" collapsed="false">
      <c r="A60" s="5" t="s">
        <v>88</v>
      </c>
      <c r="B60" s="18" t="n">
        <f aca="false">B40*B27*12+B41+B42*12+B43*12</f>
        <v>1560</v>
      </c>
      <c r="C60" s="18" t="n">
        <f aca="false">C40*C27*12+C41+C42*12+C43*12</f>
        <v>1320</v>
      </c>
      <c r="D60" s="18" t="n">
        <f aca="false">D40*D27*12+D41+D42*12+D43*12</f>
        <v>3720</v>
      </c>
      <c r="E60" s="7"/>
    </row>
    <row r="61" customFormat="false" ht="15" hidden="false" customHeight="false" outlineLevel="0" collapsed="false">
      <c r="A61" s="19" t="s">
        <v>89</v>
      </c>
      <c r="B61" s="20" t="n">
        <f aca="false">B57-B58-B59-B60</f>
        <v>-3764.6</v>
      </c>
      <c r="C61" s="20" t="n">
        <f aca="false">C57-C58-C59-C60</f>
        <v>6673.35</v>
      </c>
      <c r="D61" s="20" t="n">
        <f aca="false">D57-D58-D59-D60</f>
        <v>27670.98</v>
      </c>
      <c r="E61" s="7"/>
    </row>
    <row r="62" customFormat="false" ht="15" hidden="false" customHeight="false" outlineLevel="0" collapsed="false">
      <c r="A62" s="5" t="s">
        <v>90</v>
      </c>
      <c r="B62" s="18" t="n">
        <f aca="false">B61</f>
        <v>-3764.6</v>
      </c>
      <c r="C62" s="18" t="n">
        <f aca="false">B62+C61</f>
        <v>2908.75</v>
      </c>
      <c r="D62" s="18" t="n">
        <f aca="false">C62+D61</f>
        <v>30579.73</v>
      </c>
      <c r="E62" s="7"/>
    </row>
    <row r="63" customFormat="false" ht="15" hidden="false" customHeight="false" outlineLevel="0" collapsed="false">
      <c r="A63" s="5" t="s">
        <v>91</v>
      </c>
      <c r="B63" s="18" t="n">
        <f aca="false">MAX(B45*B55,B44*MAX(0,MIN(B61,B62)))</f>
        <v>34.56</v>
      </c>
      <c r="C63" s="18" t="n">
        <f aca="false">MAX(C45*C55,C44*MAX(0,MIN(C61,C62)))</f>
        <v>581.75</v>
      </c>
      <c r="D63" s="18" t="n">
        <f aca="false">MAX(D45*D55,D44*MAX(0,MIN(D61,D62)))</f>
        <v>5534.196</v>
      </c>
      <c r="E63" s="7" t="s">
        <v>92</v>
      </c>
    </row>
    <row r="64" customFormat="false" ht="15" hidden="false" customHeight="false" outlineLevel="0" collapsed="false">
      <c r="A64" s="19" t="s">
        <v>93</v>
      </c>
      <c r="B64" s="20" t="n">
        <f aca="false">B61-B63</f>
        <v>-3799.16</v>
      </c>
      <c r="C64" s="20" t="n">
        <f aca="false">C61-C63</f>
        <v>6091.6</v>
      </c>
      <c r="D64" s="20" t="n">
        <f aca="false">D61-D63</f>
        <v>22136.784</v>
      </c>
      <c r="E64" s="7"/>
    </row>
    <row r="65" customFormat="false" ht="15" hidden="false" customHeight="false" outlineLevel="0" collapsed="false">
      <c r="A65" s="5" t="s">
        <v>94</v>
      </c>
      <c r="B65" s="18" t="n">
        <f aca="false">B64</f>
        <v>-3799.16</v>
      </c>
      <c r="C65" s="18" t="n">
        <f aca="false">B65+C64</f>
        <v>2292.44</v>
      </c>
      <c r="D65" s="18" t="n">
        <f aca="false">C65+D64</f>
        <v>24429.224</v>
      </c>
      <c r="E65" s="7"/>
    </row>
    <row r="67" customFormat="false" ht="15" hidden="false" customHeight="false" outlineLevel="0" collapsed="false">
      <c r="A67" s="3" t="s">
        <v>95</v>
      </c>
      <c r="B67" s="4" t="s">
        <v>3</v>
      </c>
      <c r="C67" s="4" t="s">
        <v>4</v>
      </c>
      <c r="D67" s="4" t="s">
        <v>5</v>
      </c>
      <c r="E67" s="3" t="s">
        <v>6</v>
      </c>
    </row>
    <row r="68" customFormat="false" ht="15" hidden="false" customHeight="false" outlineLevel="0" collapsed="false">
      <c r="A68" s="5" t="s">
        <v>83</v>
      </c>
      <c r="B68" s="18" t="n">
        <f aca="false">B55</f>
        <v>3456</v>
      </c>
      <c r="C68" s="18" t="n">
        <f aca="false">C55</f>
        <v>25131</v>
      </c>
      <c r="D68" s="18" t="n">
        <f aca="false">D55</f>
        <v>67744.2</v>
      </c>
      <c r="E68" s="7"/>
    </row>
    <row r="69" customFormat="false" ht="15" hidden="false" customHeight="false" outlineLevel="0" collapsed="false">
      <c r="A69" s="5" t="s">
        <v>96</v>
      </c>
      <c r="B69" s="18" t="n">
        <f aca="false">B51*B14</f>
        <v>311.04</v>
      </c>
      <c r="C69" s="18" t="n">
        <f aca="false">C51*C14</f>
        <v>6785.37</v>
      </c>
      <c r="D69" s="18" t="n">
        <f aca="false">D51*D14</f>
        <v>24387.912</v>
      </c>
      <c r="E69" s="7"/>
    </row>
    <row r="70" customFormat="false" ht="15" hidden="false" customHeight="false" outlineLevel="0" collapsed="false">
      <c r="A70" s="5" t="s">
        <v>97</v>
      </c>
      <c r="B70" s="18" t="n">
        <f aca="false">B68+B69</f>
        <v>3767.04</v>
      </c>
      <c r="C70" s="18" t="n">
        <f aca="false">C68+C69</f>
        <v>31916.37</v>
      </c>
      <c r="D70" s="18" t="n">
        <f aca="false">D68+D69</f>
        <v>92132.112</v>
      </c>
      <c r="E70" s="7"/>
    </row>
    <row r="71" customFormat="false" ht="15" hidden="false" customHeight="false" outlineLevel="0" collapsed="false">
      <c r="A71" s="5" t="s">
        <v>98</v>
      </c>
      <c r="B71" s="18" t="n">
        <f aca="false">B52+B51*B15</f>
        <v>654.84</v>
      </c>
      <c r="C71" s="18" t="n">
        <f aca="false">C52+C51*C15</f>
        <v>2507.295</v>
      </c>
      <c r="D71" s="18" t="n">
        <f aca="false">D52+D51*D15</f>
        <v>6707.652</v>
      </c>
      <c r="E71" s="7"/>
    </row>
    <row r="72" customFormat="false" ht="15" hidden="false" customHeight="false" outlineLevel="0" collapsed="false">
      <c r="A72" s="19" t="s">
        <v>85</v>
      </c>
      <c r="B72" s="20" t="n">
        <f aca="false">B70-B71</f>
        <v>3112.2</v>
      </c>
      <c r="C72" s="20" t="n">
        <f aca="false">C70-C71</f>
        <v>29409.075</v>
      </c>
      <c r="D72" s="20" t="n">
        <f aca="false">D70-D71</f>
        <v>85424.46</v>
      </c>
      <c r="E72" s="7"/>
    </row>
    <row r="73" customFormat="false" ht="15" hidden="false" customHeight="false" outlineLevel="0" collapsed="false">
      <c r="A73" s="5" t="s">
        <v>99</v>
      </c>
      <c r="B73" s="18" t="n">
        <f aca="false">B58+B59+B60</f>
        <v>6617.6</v>
      </c>
      <c r="C73" s="18" t="n">
        <f aca="false">C58+C59+C60</f>
        <v>17081.25</v>
      </c>
      <c r="D73" s="18" t="n">
        <f aca="false">D58+D59+D60</f>
        <v>37430.22</v>
      </c>
      <c r="E73" s="7"/>
    </row>
    <row r="74" customFormat="false" ht="15" hidden="false" customHeight="false" outlineLevel="0" collapsed="false">
      <c r="A74" s="19" t="s">
        <v>89</v>
      </c>
      <c r="B74" s="20" t="n">
        <f aca="false">B72-B73</f>
        <v>-3505.4</v>
      </c>
      <c r="C74" s="20" t="n">
        <f aca="false">C72-C73</f>
        <v>12327.825</v>
      </c>
      <c r="D74" s="20" t="n">
        <f aca="false">D72-D73</f>
        <v>47994.24</v>
      </c>
      <c r="E74" s="7"/>
    </row>
    <row r="75" customFormat="false" ht="15" hidden="false" customHeight="false" outlineLevel="0" collapsed="false">
      <c r="A75" s="5" t="s">
        <v>90</v>
      </c>
      <c r="B75" s="18" t="n">
        <f aca="false">B74</f>
        <v>-3505.4</v>
      </c>
      <c r="C75" s="18" t="n">
        <f aca="false">B75+C74</f>
        <v>8822.425</v>
      </c>
      <c r="D75" s="18" t="n">
        <f aca="false">C75+D74</f>
        <v>56816.665</v>
      </c>
      <c r="E75" s="7"/>
    </row>
    <row r="76" customFormat="false" ht="15" hidden="false" customHeight="false" outlineLevel="0" collapsed="false">
      <c r="A76" s="5" t="s">
        <v>91</v>
      </c>
      <c r="B76" s="18" t="n">
        <f aca="false">MAX(B45*B70,B44*MAX(0,MIN(B74,B75)))</f>
        <v>37.6704</v>
      </c>
      <c r="C76" s="18" t="n">
        <f aca="false">MAX(C45*C70,C44*MAX(0,MIN(C74,C75)))</f>
        <v>1764.485</v>
      </c>
      <c r="D76" s="18" t="n">
        <f aca="false">MAX(D45*D70,D44*MAX(0,MIN(D74,D75)))</f>
        <v>9598.848</v>
      </c>
      <c r="E76" s="7"/>
    </row>
    <row r="77" customFormat="false" ht="15" hidden="false" customHeight="false" outlineLevel="0" collapsed="false">
      <c r="A77" s="19" t="s">
        <v>93</v>
      </c>
      <c r="B77" s="20" t="n">
        <f aca="false">B74-B76</f>
        <v>-3543.0704</v>
      </c>
      <c r="C77" s="20" t="n">
        <f aca="false">C74-C76</f>
        <v>10563.34</v>
      </c>
      <c r="D77" s="20" t="n">
        <f aca="false">D74-D76</f>
        <v>38395.392</v>
      </c>
      <c r="E77" s="7"/>
    </row>
    <row r="79" customFormat="false" ht="15" hidden="false" customHeight="false" outlineLevel="0" collapsed="false">
      <c r="A79" s="3" t="s">
        <v>100</v>
      </c>
      <c r="B79" s="4" t="s">
        <v>3</v>
      </c>
      <c r="C79" s="4" t="s">
        <v>4</v>
      </c>
      <c r="D79" s="4" t="s">
        <v>5</v>
      </c>
      <c r="E79" s="3" t="s">
        <v>6</v>
      </c>
    </row>
    <row r="80" customFormat="false" ht="15" hidden="false" customHeight="false" outlineLevel="0" collapsed="false">
      <c r="A80" s="5" t="s">
        <v>101</v>
      </c>
      <c r="B80" s="21" t="n">
        <f aca="false">(B58+B59+B60+B56)/(B6*12)</f>
        <v>120.343333333333</v>
      </c>
      <c r="C80" s="21" t="n">
        <f aca="false">(C58+C59+C60+C56)/(C6*12)</f>
        <v>307.6275</v>
      </c>
      <c r="D80" s="21" t="n">
        <f aca="false">(D58+D59+D60+D56)/(D6*12)</f>
        <v>667.887</v>
      </c>
      <c r="E80" s="7" t="s">
        <v>102</v>
      </c>
    </row>
    <row r="81" customFormat="false" ht="15" hidden="false" customHeight="false" outlineLevel="0" collapsed="false">
      <c r="A81" s="5" t="s">
        <v>103</v>
      </c>
      <c r="B81" s="22" t="n">
        <f aca="false">B80/65433</f>
        <v>0.00183918410180388</v>
      </c>
      <c r="C81" s="22" t="n">
        <f aca="false">C80/65433</f>
        <v>0.00470141213149328</v>
      </c>
      <c r="D81" s="22" t="n">
        <f aca="false">D80/65433</f>
        <v>0.0102071890330567</v>
      </c>
      <c r="E81" s="7" t="s">
        <v>104</v>
      </c>
    </row>
    <row r="82" customFormat="false" ht="15" hidden="false" customHeight="false" outlineLevel="0" collapsed="false">
      <c r="A82" s="5" t="s">
        <v>105</v>
      </c>
      <c r="B82" s="18" t="n">
        <f aca="false">-MIN(0,MIN($B$65:B65))</f>
        <v>3799.16</v>
      </c>
      <c r="C82" s="18" t="n">
        <f aca="false">-MIN(0,MIN($B$65:C65))</f>
        <v>3799.16</v>
      </c>
      <c r="D82" s="18" t="n">
        <f aca="false">-MIN(0,MIN($B$65:D65))</f>
        <v>3799.16</v>
      </c>
      <c r="E82" s="7" t="s">
        <v>106</v>
      </c>
    </row>
    <row r="83" customFormat="false" ht="26.85" hidden="false" customHeight="false" outlineLevel="0" collapsed="false">
      <c r="A83" s="5" t="s">
        <v>107</v>
      </c>
      <c r="B83" s="18" t="n">
        <f aca="false">B64-B27*(B46-B28)*12*(1-IF(B61&gt;0,B44,0))</f>
        <v>-36199.16</v>
      </c>
      <c r="C83" s="18" t="n">
        <f aca="false">C64-C27*(C46-C28)*12*(1-IF(C61&gt;0,C44,0))</f>
        <v>-14068.4</v>
      </c>
      <c r="D83" s="18" t="n">
        <f aca="false">D64-D27*(D46-D28)*12*(1-IF(D61&gt;0,D44,0))</f>
        <v>7736.784</v>
      </c>
      <c r="E83" s="7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2026-09-25T18:09:30Z</dcterms:created>
  <dc:creator>openpyxl</dc:creator>
  <dc:description/>
  <dc:language>en-US</dc:language>
  <cp:lastModifiedBy/>
  <dcterms:modified xsi:type="dcterms:W3CDTF">2026-09-25T18:09:30Z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