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<sst xmlns="http://schemas.openxmlformats.org/spreadsheetml/2006/main" count="169" uniqueCount="123">
  <si>
    <t xml:space="preserve">Rentify - three-year financial model (bootstrapped, v4, Sept 2026)</t>
  </si>
  <si>
    <t xml:space="preserve">Blue = input you can change. Black = formula. Yellow = key assumption to test in the pilot. Years start with the public launch in 2027; the Q4 2026 pilot is covered by Year 1 costs.</t>
  </si>
  <si>
    <t xml:space="preserve">INPUTS - shops</t>
  </si>
  <si>
    <t xml:space="preserve">Year 1 (2027)</t>
  </si>
  <si>
    <t xml:space="preserve">Year 2 (2028)</t>
  </si>
  <si>
    <t xml:space="preserve">Year 3 (2029)</t>
  </si>
  <si>
    <t xml:space="preserve">Basis / source</t>
  </si>
  <si>
    <t xml:space="preserve">Average paying shops</t>
  </si>
  <si>
    <t xml:space="preserve">Yearly average from the team's 36-month model (its subscription revenue / US$60). Unchanged, so the market slides stay consistent.</t>
  </si>
  <si>
    <t xml:space="preserve">Average plan price ($/shop/month)</t>
  </si>
  <si>
    <t xml:space="preserve">Starter $5 / Pro $10; $5 average is conservative. Proposed prices, to test in the pilot.</t>
  </si>
  <si>
    <t xml:space="preserve">Free-plan shops per paying shop</t>
  </si>
  <si>
    <t xml:space="preserve">Assumption: one marketplace-only Free shop for every paying shop. They pay no subscription but can pay commission.</t>
  </si>
  <si>
    <t xml:space="preserve">INPUTS - marketplace commission (commission scenario only)</t>
  </si>
  <si>
    <t xml:space="preserve">Months with online payments</t>
  </si>
  <si>
    <t xml:space="preserve">Online (KHQR) payments and commission start mid-2027 (roadmap). Cash-on-delivery orders earn no commission.</t>
  </si>
  <si>
    <t xml:space="preserve">Share of shops getting marketplace orders</t>
  </si>
  <si>
    <t xml:space="preserve">Assumption: half of all shops receive at least some marketplace-sourced orders.</t>
  </si>
  <si>
    <t xml:space="preserve">Marketplace orders per such shop per month</t>
  </si>
  <si>
    <t xml:space="preserve">Assumption: grows as buyers discover more shops. Measure in the pilot.</t>
  </si>
  <si>
    <t xml:space="preserve">Average marketplace order value ($)</t>
  </si>
  <si>
    <t xml:space="preserve">Assumption for fashion/beauty/home goods. Measure in the pilot.</t>
  </si>
  <si>
    <t xml:space="preserve">Commission rate</t>
  </si>
  <si>
    <t xml:space="preserve">Proposed 3% on marketplace-sourced orders only; 0% on the shop's own storefront and counter sales.</t>
  </si>
  <si>
    <t xml:space="preserve">Payment cost (% of marketplace sales)</t>
  </si>
  <si>
    <t xml:space="preserve">Blended estimate: ABA-to-ABA KHQR reportedly free; interbank and card payments cost more. Confirm with ABA PayWay.</t>
  </si>
  <si>
    <t xml:space="preserve">INPUTS - infrastructure ($/month)</t>
  </si>
  <si>
    <t xml:space="preserve">App servers (DigitalOcean droplets, Singapore)</t>
  </si>
  <si>
    <t xml:space="preserve">Y1: 1 x 2 vCPU/4 GB ($24). Y2: 2 x 4 GB. Y3: 2 x 4 vCPU/8 GB ($48 each). Docker runs on these; Docker itself is free. digitalocean.com/pricing/droplets</t>
  </si>
  <si>
    <t xml:space="preserve">Managed PostgreSQL database</t>
  </si>
  <si>
    <t xml:space="preserve">Y1: 1 GB plan ($15). Y2: 1 vCPU/2 GB ($30.45). Y3: ~4 GB plan (estimate, about double). digitalocean.com/pricing/managed-databases</t>
  </si>
  <si>
    <t xml:space="preserve">Product photo storage (Spaces)</t>
  </si>
  <si>
    <t xml:space="preserve">$5/month includes 250 GiB; extra $0.02/GiB. docs.digitalocean.com/products/spaces/details/pricing</t>
  </si>
  <si>
    <t xml:space="preserve">Server backups</t>
  </si>
  <si>
    <t xml:space="preserve">Estimate: about 20% of droplet cost for weekly backups.</t>
  </si>
  <si>
    <t xml:space="preserve">Transactional email (Resend)</t>
  </si>
  <si>
    <t xml:space="preserve">Free up to 3,000 emails/month; Pro $20 for 50,000. resend.com/pricing</t>
  </si>
  <si>
    <t xml:space="preserve">Load balancer</t>
  </si>
  <si>
    <t xml:space="preserve">Estimate for a small DigitalOcean load balancer once two app servers share traffic.</t>
  </si>
  <si>
    <t xml:space="preserve">Domain and DNS</t>
  </si>
  <si>
    <t xml:space="preserve">About $15/year. SSL is free (Let's Encrypt). Merchants buy their own custom domains.</t>
  </si>
  <si>
    <t xml:space="preserve">INPUTS - team (paid from profit)</t>
  </si>
  <si>
    <t xml:space="preserve">Founders (whole team)</t>
  </si>
  <si>
    <t xml:space="preserve">All 5 team members hold equity and do everything themselves: product, sales, onboarding, support. No hires in Years 1-3.</t>
  </si>
  <si>
    <t xml:space="preserve">Share of profit paid to the team</t>
  </si>
  <si>
    <t xml:space="preserve">Bootstrapped rule: the team works unpaid until there is profit, then takes half of each year's profit (before team pay) and keeps the other half as reserve. Many bootstrapped founders start at $0 and stay under ~$1,000/month for years (Pilot founder salary report; Practical Founders).</t>
  </si>
  <si>
    <t xml:space="preserve">Maximum pay per founder ($/month)</t>
  </si>
  <si>
    <t xml:space="preserve">Cap, so extra profit is reinvested. Up to KHR 1.5M (~$375)/month is free of salary tax; above that the employee pays 5% (withheld, not a company cost).</t>
  </si>
  <si>
    <t xml:space="preserve">Employer social security (NSSF, % of pay)</t>
  </si>
  <si>
    <t xml:space="preserve">Occupational risk, health care and pension contributions paid by the employer on team pay; the pension share rises from 2027. Approximate.</t>
  </si>
  <si>
    <t xml:space="preserve">INPUTS - sales and marketing (limited budget)</t>
  </si>
  <si>
    <t xml:space="preserve">Marketing budget (% of revenue)</t>
  </si>
  <si>
    <t xml:space="preserve">Spend only what revenue allows: ads, printed QR stands, festival campaigns. Growth is founder-led (shop visits, Facebook groups, referrals), so this sits below the 20-40% that early bootstrapped SaaS firms often spend on marketing.</t>
  </si>
  <si>
    <t xml:space="preserve">Minimum launch materials ($/year)</t>
  </si>
  <si>
    <t xml:space="preserve">Printed QR stands and flyers for the first pilot shops, before revenue exists.</t>
  </si>
  <si>
    <t xml:space="preserve">Referral credit per referred paying shop ($)</t>
  </si>
  <si>
    <t xml:space="preserve">One month free for the shop that refers another.</t>
  </si>
  <si>
    <t xml:space="preserve">Share of new paying shops that come by referral</t>
  </si>
  <si>
    <t xml:space="preserve">Assumption.</t>
  </si>
  <si>
    <t xml:space="preserve">INPUTS - software, office, legal and tax</t>
  </si>
  <si>
    <t xml:space="preserve">Shared AI tool subscriptions (number)</t>
  </si>
  <si>
    <t xml:space="preserve">The team shares a few accounts instead of one each.</t>
  </si>
  <si>
    <t xml:space="preserve">AI tool price ($/subscription/month)</t>
  </si>
  <si>
    <t xml:space="preserve">Claude Pro or ChatGPT Plus, about $20/month. Code hosting (GitHub) and design tools use free plans.</t>
  </si>
  <si>
    <t xml:space="preserve">Company registration (one-off)</t>
  </si>
  <si>
    <t xml:space="preserve">Ministry of Commerce fee about KHR 2,155,000 (~$540) plus ~$300 notary/legal help. Needed before online payments (2027).</t>
  </si>
  <si>
    <t xml:space="preserve">Bookkeeping and tax filing ($/month)</t>
  </si>
  <si>
    <t xml:space="preserve">Founders keep the books in Years 1-2; a part-time accountant from Year 3 (proper records also avoid the 1% minimum tax).</t>
  </si>
  <si>
    <t xml:space="preserve">Office ($/month)</t>
  </si>
  <si>
    <t xml:space="preserve">No rent: home, university, or free startup space such as Techo Startup Center in Phnom Penh.</t>
  </si>
  <si>
    <t xml:space="preserve">VAT-registered (1 = yes)</t>
  </si>
  <si>
    <t xml:space="preserve">VAT is compulsory above KHR 250M (~$62,500) turnover a year; Rentify passes that in Year 3. A company holding customer payments will likely register from the start, so this is on from Year 1 (conservative).</t>
  </si>
  <si>
    <t xml:space="preserve">VAT rate (included in our prices)</t>
  </si>
  <si>
    <t xml:space="preserve">10% VAT is charged on sales and passed to the government; it is not a tax on profit. Prices stay $5 incl. VAT, so Rentify keeps $5 / 1.1 = $4.55. VAT we pay on costs can be reclaimed, so costs are shown without VAT.</t>
  </si>
  <si>
    <t xml:space="preserve">Tax on profit</t>
  </si>
  <si>
    <t xml:space="preserve">20% for companies (medium/large taxpayers). Losses carried forward. IT startups may get a 2-5 year exemption (SME Sub-decree 124, MSME incentives); not assumed here.</t>
  </si>
  <si>
    <t xml:space="preserve">Prepayment of profit tax (% of revenue)</t>
  </si>
  <si>
    <t xml:space="preserve">1% of monthly turnover, credited against profit tax. In loss years it is treated as a cost (conservative). The separate 1% minimum tax does not apply to companies that keep proper accounts.</t>
  </si>
  <si>
    <t xml:space="preserve">Patent tax (annual business tax, $)</t>
  </si>
  <si>
    <t xml:space="preserve">KHR 1.2M (~$300) a year for a medium taxpayer. Small enterprises can be exempt for 2 years.</t>
  </si>
  <si>
    <t xml:space="preserve">Withholding tax on foreign services</t>
  </si>
  <si>
    <t xml:space="preserve">14% on payments to non-resident suppliers (servers, AI tools), assumed paid by Rentify on top (conservative).</t>
  </si>
  <si>
    <t xml:space="preserve">CALCULATIONS</t>
  </si>
  <si>
    <t xml:space="preserve">Free-plan shops</t>
  </si>
  <si>
    <t xml:space="preserve">New paying shops in the year</t>
  </si>
  <si>
    <t xml:space="preserve">Increase in average paying shops (Year 1 starts from zero).</t>
  </si>
  <si>
    <t xml:space="preserve">Marketplace sales through Rentify (GMV)</t>
  </si>
  <si>
    <t xml:space="preserve">Sales value of marketplace orders, not Rentify revenue.</t>
  </si>
  <si>
    <t xml:space="preserve">Infrastructure cost incl. withholding tax ($/year)</t>
  </si>
  <si>
    <t xml:space="preserve">Subscription Rentify keeps per shop ($/year, excl. VAT)</t>
  </si>
  <si>
    <t xml:space="preserve">Software, office, legal, patent tax ($/year)</t>
  </si>
  <si>
    <t xml:space="preserve">Team pay cap ($/year)</t>
  </si>
  <si>
    <t xml:space="preserve">P&amp;L - BASE CASE (subscriptions only)</t>
  </si>
  <si>
    <t xml:space="preserve">Subscription revenue (excl. VAT)</t>
  </si>
  <si>
    <t xml:space="preserve">Customers pay $5 incl. VAT; the VAT part goes to the government.</t>
  </si>
  <si>
    <t xml:space="preserve">Cost of service (infrastructure)</t>
  </si>
  <si>
    <t xml:space="preserve">Gross profit</t>
  </si>
  <si>
    <t xml:space="preserve">Sales &amp; marketing</t>
  </si>
  <si>
    <t xml:space="preserve">Software, office, legal, patent tax</t>
  </si>
  <si>
    <t xml:space="preserve">Profit before team pay</t>
  </si>
  <si>
    <t xml:space="preserve">What the business earns while the team works for equity.</t>
  </si>
  <si>
    <t xml:space="preserve">Team pay (from profit)</t>
  </si>
  <si>
    <t xml:space="preserve">Team cost incl. NSSF</t>
  </si>
  <si>
    <t xml:space="preserve">Result before tax</t>
  </si>
  <si>
    <t xml:space="preserve">Cumulative result before tax</t>
  </si>
  <si>
    <t xml:space="preserve">Higher of the 1% prepayment and 20% profit tax; profit tax only on profit left after earlier losses.</t>
  </si>
  <si>
    <t xml:space="preserve">Net result (kept in the company)</t>
  </si>
  <si>
    <t xml:space="preserve">Cumulative net result</t>
  </si>
  <si>
    <t xml:space="preserve">Pay per founder ($/month)</t>
  </si>
  <si>
    <t xml:space="preserve">P&amp;L - WITH 3% COMMISSION (upside scenario)</t>
  </si>
  <si>
    <t xml:space="preserve">Subscription revenue</t>
  </si>
  <si>
    <t xml:space="preserve">Commission revenue (excl. VAT)</t>
  </si>
  <si>
    <t xml:space="preserve">Total revenue</t>
  </si>
  <si>
    <t xml:space="preserve">Cost of service (infrastructure + payment cost)</t>
  </si>
  <si>
    <t xml:space="preserve">KEY FIGURES</t>
  </si>
  <si>
    <t xml:space="preserve">Paying shops needed to cover running costs</t>
  </si>
  <si>
    <t xml:space="preserve">Costs excluding team pay / what each paying shop leaves after marketing.</t>
  </si>
  <si>
    <t xml:space="preserve">Paying shops needed to also pay every founder the cap</t>
  </si>
  <si>
    <t xml:space="preserve">Shows when all 5 founders could take the full monthly cap.</t>
  </si>
  <si>
    <t xml:space="preserve">...as share of SAM (65,433 stores)</t>
  </si>
  <si>
    <t xml:space="preserve">NIS Economic Census 2022, ISIC 4741-4774.</t>
  </si>
  <si>
    <t xml:space="preserve">Cash needed before first revenue</t>
  </si>
  <si>
    <t xml:space="preserve">Registration, launch materials and about 3 months of servers during the pilot; from savings or prize money.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</si>
</sst>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\(#,##0.0\);\-"/>
    <numFmt numFmtId="166" formatCode="\$#,##0.00;&quot;($&quot;#,##0.00\);\-"/>
    <numFmt numFmtId="167" formatCode="0.0"/>
    <numFmt numFmtId="168" formatCode="#,##0;\(#,##0\);\-"/>
    <numFmt numFmtId="169" formatCode="0.0%;\(0.0%\);\-"/>
    <numFmt numFmtId="170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2637A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D35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E1E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7E1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3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3"/>
    <col collapsed="false" customWidth="true" hidden="false" outlineLevel="0" max="5" min="5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3" t="s">
        <v>6</v>
      </c>
    </row>
    <row r="5" customFormat="false" ht="26.85" hidden="false" customHeight="false" outlineLevel="0" collapsed="false">
      <c r="A5" s="5" t="s">
        <v>7</v>
      </c>
      <c r="B5" s="6" t="n">
        <v>57.6</v>
      </c>
      <c r="C5" s="6" t="n">
        <v>418.85</v>
      </c>
      <c r="D5" s="6" t="n">
        <v>1129.07</v>
      </c>
      <c r="E5" s="7" t="s">
        <v>8</v>
      </c>
    </row>
    <row r="6" customFormat="false" ht="15" hidden="false" customHeight="false" outlineLevel="0" collapsed="false">
      <c r="A6" s="5" t="s">
        <v>9</v>
      </c>
      <c r="B6" s="8" t="n">
        <v>5</v>
      </c>
      <c r="C6" s="8" t="n">
        <v>5</v>
      </c>
      <c r="D6" s="8" t="n">
        <v>5</v>
      </c>
      <c r="E6" s="7" t="s">
        <v>10</v>
      </c>
    </row>
    <row r="7" customFormat="false" ht="15" hidden="false" customHeight="false" outlineLevel="0" collapsed="false">
      <c r="A7" s="5" t="s">
        <v>11</v>
      </c>
      <c r="B7" s="9" t="n">
        <v>1</v>
      </c>
      <c r="C7" s="9" t="n">
        <v>1</v>
      </c>
      <c r="D7" s="9" t="n">
        <v>1</v>
      </c>
      <c r="E7" s="7" t="s">
        <v>12</v>
      </c>
    </row>
    <row r="9" customFormat="false" ht="15" hidden="false" customHeight="false" outlineLevel="0" collapsed="false">
      <c r="A9" s="3" t="s">
        <v>13</v>
      </c>
      <c r="B9" s="4" t="s">
        <v>3</v>
      </c>
      <c r="C9" s="4" t="s">
        <v>4</v>
      </c>
      <c r="D9" s="4" t="s">
        <v>5</v>
      </c>
      <c r="E9" s="3" t="s">
        <v>6</v>
      </c>
    </row>
    <row r="10" customFormat="false" ht="15" hidden="false" customHeight="false" outlineLevel="0" collapsed="false">
      <c r="A10" s="5" t="s">
        <v>14</v>
      </c>
      <c r="B10" s="10" t="n">
        <v>6</v>
      </c>
      <c r="C10" s="10" t="n">
        <v>12</v>
      </c>
      <c r="D10" s="10" t="n">
        <v>12</v>
      </c>
      <c r="E10" s="7" t="s">
        <v>15</v>
      </c>
    </row>
    <row r="11" customFormat="false" ht="15" hidden="false" customHeight="false" outlineLevel="0" collapsed="false">
      <c r="A11" s="5" t="s">
        <v>16</v>
      </c>
      <c r="B11" s="11" t="n">
        <v>0.5</v>
      </c>
      <c r="C11" s="11" t="n">
        <v>0.5</v>
      </c>
      <c r="D11" s="11" t="n">
        <v>0.5</v>
      </c>
      <c r="E11" s="7" t="s">
        <v>17</v>
      </c>
    </row>
    <row r="12" customFormat="false" ht="15" hidden="false" customHeight="false" outlineLevel="0" collapsed="false">
      <c r="A12" s="5" t="s">
        <v>18</v>
      </c>
      <c r="B12" s="12" t="n">
        <v>2</v>
      </c>
      <c r="C12" s="12" t="n">
        <v>3</v>
      </c>
      <c r="D12" s="12" t="n">
        <v>4</v>
      </c>
      <c r="E12" s="7" t="s">
        <v>19</v>
      </c>
    </row>
    <row r="13" customFormat="false" ht="15" hidden="false" customHeight="false" outlineLevel="0" collapsed="false">
      <c r="A13" s="5" t="s">
        <v>20</v>
      </c>
      <c r="B13" s="8" t="n">
        <v>15</v>
      </c>
      <c r="C13" s="8" t="n">
        <v>15</v>
      </c>
      <c r="D13" s="8" t="n">
        <v>15</v>
      </c>
      <c r="E13" s="7" t="s">
        <v>21</v>
      </c>
    </row>
    <row r="14" customFormat="false" ht="15" hidden="false" customHeight="false" outlineLevel="0" collapsed="false">
      <c r="A14" s="5" t="s">
        <v>22</v>
      </c>
      <c r="B14" s="11" t="n">
        <v>0.03</v>
      </c>
      <c r="C14" s="11" t="n">
        <v>0.03</v>
      </c>
      <c r="D14" s="11" t="n">
        <v>0.03</v>
      </c>
      <c r="E14" s="7" t="s">
        <v>23</v>
      </c>
    </row>
    <row r="15" customFormat="false" ht="15" hidden="false" customHeight="false" outlineLevel="0" collapsed="false">
      <c r="A15" s="5" t="s">
        <v>24</v>
      </c>
      <c r="B15" s="13" t="n">
        <v>0.005</v>
      </c>
      <c r="C15" s="13" t="n">
        <v>0.005</v>
      </c>
      <c r="D15" s="13" t="n">
        <v>0.005</v>
      </c>
      <c r="E15" s="7" t="s">
        <v>25</v>
      </c>
    </row>
    <row r="17" customFormat="false" ht="15" hidden="false" customHeight="false" outlineLevel="0" collapsed="false">
      <c r="A17" s="3" t="s">
        <v>26</v>
      </c>
      <c r="B17" s="4" t="s">
        <v>3</v>
      </c>
      <c r="C17" s="4" t="s">
        <v>4</v>
      </c>
      <c r="D17" s="4" t="s">
        <v>5</v>
      </c>
      <c r="E17" s="3" t="s">
        <v>6</v>
      </c>
    </row>
    <row r="18" customFormat="false" ht="26.85" hidden="false" customHeight="false" outlineLevel="0" collapsed="false">
      <c r="A18" s="5" t="s">
        <v>27</v>
      </c>
      <c r="B18" s="14" t="n">
        <v>24</v>
      </c>
      <c r="C18" s="14" t="n">
        <v>48</v>
      </c>
      <c r="D18" s="14" t="n">
        <v>96</v>
      </c>
      <c r="E18" s="7" t="s">
        <v>28</v>
      </c>
    </row>
    <row r="19" customFormat="false" ht="26.85" hidden="false" customHeight="false" outlineLevel="0" collapsed="false">
      <c r="A19" s="5" t="s">
        <v>29</v>
      </c>
      <c r="B19" s="14" t="n">
        <v>15</v>
      </c>
      <c r="C19" s="14" t="n">
        <v>30.45</v>
      </c>
      <c r="D19" s="14" t="n">
        <v>61</v>
      </c>
      <c r="E19" s="7" t="s">
        <v>30</v>
      </c>
    </row>
    <row r="20" customFormat="false" ht="15" hidden="false" customHeight="false" outlineLevel="0" collapsed="false">
      <c r="A20" s="5" t="s">
        <v>31</v>
      </c>
      <c r="B20" s="14" t="n">
        <v>5</v>
      </c>
      <c r="C20" s="14" t="n">
        <v>5</v>
      </c>
      <c r="D20" s="14" t="n">
        <v>10</v>
      </c>
      <c r="E20" s="7" t="s">
        <v>32</v>
      </c>
    </row>
    <row r="21" customFormat="false" ht="15" hidden="false" customHeight="false" outlineLevel="0" collapsed="false">
      <c r="A21" s="5" t="s">
        <v>33</v>
      </c>
      <c r="B21" s="14" t="n">
        <v>5</v>
      </c>
      <c r="C21" s="14" t="n">
        <v>10</v>
      </c>
      <c r="D21" s="14" t="n">
        <v>20</v>
      </c>
      <c r="E21" s="7" t="s">
        <v>34</v>
      </c>
    </row>
    <row r="22" customFormat="false" ht="15" hidden="false" customHeight="false" outlineLevel="0" collapsed="false">
      <c r="A22" s="5" t="s">
        <v>35</v>
      </c>
      <c r="B22" s="14" t="n">
        <v>0</v>
      </c>
      <c r="C22" s="14" t="n">
        <v>20</v>
      </c>
      <c r="D22" s="14" t="n">
        <v>20</v>
      </c>
      <c r="E22" s="7" t="s">
        <v>36</v>
      </c>
    </row>
    <row r="23" customFormat="false" ht="15" hidden="false" customHeight="false" outlineLevel="0" collapsed="false">
      <c r="A23" s="5" t="s">
        <v>37</v>
      </c>
      <c r="B23" s="14" t="n">
        <v>0</v>
      </c>
      <c r="C23" s="14" t="n">
        <v>0</v>
      </c>
      <c r="D23" s="14" t="n">
        <v>12</v>
      </c>
      <c r="E23" s="7" t="s">
        <v>38</v>
      </c>
    </row>
    <row r="24" customFormat="false" ht="15" hidden="false" customHeight="false" outlineLevel="0" collapsed="false">
      <c r="A24" s="5" t="s">
        <v>39</v>
      </c>
      <c r="B24" s="14" t="n">
        <v>1.25</v>
      </c>
      <c r="C24" s="14" t="n">
        <v>1.25</v>
      </c>
      <c r="D24" s="14" t="n">
        <v>1.25</v>
      </c>
      <c r="E24" s="7" t="s">
        <v>40</v>
      </c>
    </row>
    <row r="26" customFormat="false" ht="15" hidden="false" customHeight="false" outlineLevel="0" collapsed="false">
      <c r="A26" s="3" t="s">
        <v>41</v>
      </c>
      <c r="B26" s="4" t="s">
        <v>3</v>
      </c>
      <c r="C26" s="4" t="s">
        <v>4</v>
      </c>
      <c r="D26" s="4" t="s">
        <v>5</v>
      </c>
      <c r="E26" s="3" t="s">
        <v>6</v>
      </c>
    </row>
    <row r="27" customFormat="false" ht="15" hidden="false" customHeight="false" outlineLevel="0" collapsed="false">
      <c r="A27" s="5" t="s">
        <v>42</v>
      </c>
      <c r="B27" s="10" t="n">
        <v>5</v>
      </c>
      <c r="C27" s="10" t="n">
        <v>5</v>
      </c>
      <c r="D27" s="10" t="n">
        <v>5</v>
      </c>
      <c r="E27" s="7" t="s">
        <v>43</v>
      </c>
    </row>
    <row r="28" customFormat="false" ht="39.55" hidden="false" customHeight="false" outlineLevel="0" collapsed="false">
      <c r="A28" s="5" t="s">
        <v>44</v>
      </c>
      <c r="B28" s="11" t="n">
        <v>0</v>
      </c>
      <c r="C28" s="11" t="n">
        <v>0.5</v>
      </c>
      <c r="D28" s="11" t="n">
        <v>0.5</v>
      </c>
      <c r="E28" s="7" t="s">
        <v>45</v>
      </c>
    </row>
    <row r="29" customFormat="false" ht="26.85" hidden="false" customHeight="false" outlineLevel="0" collapsed="false">
      <c r="A29" s="5" t="s">
        <v>46</v>
      </c>
      <c r="B29" s="15" t="n">
        <v>500</v>
      </c>
      <c r="C29" s="15" t="n">
        <v>500</v>
      </c>
      <c r="D29" s="15" t="n">
        <v>500</v>
      </c>
      <c r="E29" s="7" t="s">
        <v>47</v>
      </c>
    </row>
    <row r="30" customFormat="false" ht="26.85" hidden="false" customHeight="false" outlineLevel="0" collapsed="false">
      <c r="A30" s="5" t="s">
        <v>48</v>
      </c>
      <c r="B30" s="13" t="n">
        <v>0.06</v>
      </c>
      <c r="C30" s="13" t="n">
        <v>0.06</v>
      </c>
      <c r="D30" s="13" t="n">
        <v>0.07</v>
      </c>
      <c r="E30" s="7" t="s">
        <v>49</v>
      </c>
    </row>
    <row r="32" customFormat="false" ht="15" hidden="false" customHeight="false" outlineLevel="0" collapsed="false">
      <c r="A32" s="3" t="s">
        <v>50</v>
      </c>
      <c r="B32" s="4" t="s">
        <v>3</v>
      </c>
      <c r="C32" s="4" t="s">
        <v>4</v>
      </c>
      <c r="D32" s="4" t="s">
        <v>5</v>
      </c>
      <c r="E32" s="3" t="s">
        <v>6</v>
      </c>
    </row>
    <row r="33" customFormat="false" ht="26.85" hidden="false" customHeight="false" outlineLevel="0" collapsed="false">
      <c r="A33" s="5" t="s">
        <v>51</v>
      </c>
      <c r="B33" s="11" t="n">
        <v>0.1</v>
      </c>
      <c r="C33" s="11" t="n">
        <v>0.1</v>
      </c>
      <c r="D33" s="11" t="n">
        <v>0.1</v>
      </c>
      <c r="E33" s="7" t="s">
        <v>52</v>
      </c>
    </row>
    <row r="34" customFormat="false" ht="15" hidden="false" customHeight="false" outlineLevel="0" collapsed="false">
      <c r="A34" s="5" t="s">
        <v>53</v>
      </c>
      <c r="B34" s="15" t="n">
        <v>100</v>
      </c>
      <c r="C34" s="15" t="n">
        <v>0</v>
      </c>
      <c r="D34" s="15" t="n">
        <v>0</v>
      </c>
      <c r="E34" s="7" t="s">
        <v>54</v>
      </c>
    </row>
    <row r="35" customFormat="false" ht="15" hidden="false" customHeight="false" outlineLevel="0" collapsed="false">
      <c r="A35" s="5" t="s">
        <v>55</v>
      </c>
      <c r="B35" s="15" t="n">
        <v>5</v>
      </c>
      <c r="C35" s="15" t="n">
        <v>5</v>
      </c>
      <c r="D35" s="15" t="n">
        <v>5</v>
      </c>
      <c r="E35" s="7" t="s">
        <v>56</v>
      </c>
    </row>
    <row r="36" customFormat="false" ht="15" hidden="false" customHeight="false" outlineLevel="0" collapsed="false">
      <c r="A36" s="5" t="s">
        <v>57</v>
      </c>
      <c r="B36" s="13" t="n">
        <v>0.2</v>
      </c>
      <c r="C36" s="13" t="n">
        <v>0.2</v>
      </c>
      <c r="D36" s="13" t="n">
        <v>0.2</v>
      </c>
      <c r="E36" s="7" t="s">
        <v>58</v>
      </c>
    </row>
    <row r="38" customFormat="false" ht="15" hidden="false" customHeight="false" outlineLevel="0" collapsed="false">
      <c r="A38" s="3" t="s">
        <v>59</v>
      </c>
      <c r="B38" s="4" t="s">
        <v>3</v>
      </c>
      <c r="C38" s="4" t="s">
        <v>4</v>
      </c>
      <c r="D38" s="4" t="s">
        <v>5</v>
      </c>
      <c r="E38" s="3" t="s">
        <v>6</v>
      </c>
    </row>
    <row r="39" customFormat="false" ht="15" hidden="false" customHeight="false" outlineLevel="0" collapsed="false">
      <c r="A39" s="5" t="s">
        <v>60</v>
      </c>
      <c r="B39" s="10" t="n">
        <v>2</v>
      </c>
      <c r="C39" s="10" t="n">
        <v>2</v>
      </c>
      <c r="D39" s="10" t="n">
        <v>3</v>
      </c>
      <c r="E39" s="7" t="s">
        <v>61</v>
      </c>
    </row>
    <row r="40" customFormat="false" ht="15" hidden="false" customHeight="false" outlineLevel="0" collapsed="false">
      <c r="A40" s="5" t="s">
        <v>62</v>
      </c>
      <c r="B40" s="15" t="n">
        <v>20</v>
      </c>
      <c r="C40" s="15" t="n">
        <v>20</v>
      </c>
      <c r="D40" s="15" t="n">
        <v>20</v>
      </c>
      <c r="E40" s="7" t="s">
        <v>63</v>
      </c>
    </row>
    <row r="41" customFormat="false" ht="15" hidden="false" customHeight="false" outlineLevel="0" collapsed="false">
      <c r="A41" s="5" t="s">
        <v>64</v>
      </c>
      <c r="B41" s="15" t="n">
        <v>840</v>
      </c>
      <c r="C41" s="15" t="n">
        <v>0</v>
      </c>
      <c r="D41" s="15" t="n">
        <v>0</v>
      </c>
      <c r="E41" s="7" t="s">
        <v>65</v>
      </c>
    </row>
    <row r="42" customFormat="false" ht="15" hidden="false" customHeight="false" outlineLevel="0" collapsed="false">
      <c r="A42" s="5" t="s">
        <v>66</v>
      </c>
      <c r="B42" s="15" t="n">
        <v>0</v>
      </c>
      <c r="C42" s="15" t="n">
        <v>0</v>
      </c>
      <c r="D42" s="15" t="n">
        <v>50</v>
      </c>
      <c r="E42" s="7" t="s">
        <v>67</v>
      </c>
    </row>
    <row r="43" customFormat="false" ht="15" hidden="false" customHeight="false" outlineLevel="0" collapsed="false">
      <c r="A43" s="5" t="s">
        <v>68</v>
      </c>
      <c r="B43" s="15" t="n">
        <v>0</v>
      </c>
      <c r="C43" s="15" t="n">
        <v>0</v>
      </c>
      <c r="D43" s="15" t="n">
        <v>0</v>
      </c>
      <c r="E43" s="7" t="s">
        <v>69</v>
      </c>
    </row>
    <row r="44" customFormat="false" ht="26.85" hidden="false" customHeight="false" outlineLevel="0" collapsed="false">
      <c r="A44" s="5" t="s">
        <v>70</v>
      </c>
      <c r="B44" s="12" t="n">
        <v>1</v>
      </c>
      <c r="C44" s="12" t="n">
        <v>1</v>
      </c>
      <c r="D44" s="12" t="n">
        <v>1</v>
      </c>
      <c r="E44" s="7" t="s">
        <v>71</v>
      </c>
    </row>
    <row r="45" customFormat="false" ht="26.85" hidden="false" customHeight="false" outlineLevel="0" collapsed="false">
      <c r="A45" s="5" t="s">
        <v>72</v>
      </c>
      <c r="B45" s="13" t="n">
        <v>0.1</v>
      </c>
      <c r="C45" s="13" t="n">
        <v>0.1</v>
      </c>
      <c r="D45" s="13" t="n">
        <v>0.1</v>
      </c>
      <c r="E45" s="7" t="s">
        <v>73</v>
      </c>
    </row>
    <row r="46" customFormat="false" ht="26.85" hidden="false" customHeight="false" outlineLevel="0" collapsed="false">
      <c r="A46" s="5" t="s">
        <v>74</v>
      </c>
      <c r="B46" s="13" t="n">
        <v>0.2</v>
      </c>
      <c r="C46" s="13" t="n">
        <v>0.2</v>
      </c>
      <c r="D46" s="13" t="n">
        <v>0.2</v>
      </c>
      <c r="E46" s="7" t="s">
        <v>75</v>
      </c>
    </row>
    <row r="47" customFormat="false" ht="26.85" hidden="false" customHeight="false" outlineLevel="0" collapsed="false">
      <c r="A47" s="5" t="s">
        <v>76</v>
      </c>
      <c r="B47" s="13" t="n">
        <v>0.01</v>
      </c>
      <c r="C47" s="13" t="n">
        <v>0.01</v>
      </c>
      <c r="D47" s="13" t="n">
        <v>0.01</v>
      </c>
      <c r="E47" s="7" t="s">
        <v>77</v>
      </c>
    </row>
    <row r="48" customFormat="false" ht="15" hidden="false" customHeight="false" outlineLevel="0" collapsed="false">
      <c r="A48" s="5" t="s">
        <v>78</v>
      </c>
      <c r="B48" s="15" t="n">
        <v>300</v>
      </c>
      <c r="C48" s="15" t="n">
        <v>300</v>
      </c>
      <c r="D48" s="15" t="n">
        <v>300</v>
      </c>
      <c r="E48" s="7" t="s">
        <v>79</v>
      </c>
    </row>
    <row r="49" customFormat="false" ht="15" hidden="false" customHeight="false" outlineLevel="0" collapsed="false">
      <c r="A49" s="5" t="s">
        <v>80</v>
      </c>
      <c r="B49" s="13" t="n">
        <v>0.14</v>
      </c>
      <c r="C49" s="13" t="n">
        <v>0.14</v>
      </c>
      <c r="D49" s="13" t="n">
        <v>0.14</v>
      </c>
      <c r="E49" s="7" t="s">
        <v>81</v>
      </c>
    </row>
    <row r="51" customFormat="false" ht="15" hidden="false" customHeight="false" outlineLevel="0" collapsed="false">
      <c r="A51" s="3" t="s">
        <v>82</v>
      </c>
      <c r="B51" s="4" t="s">
        <v>3</v>
      </c>
      <c r="C51" s="4" t="s">
        <v>4</v>
      </c>
      <c r="D51" s="4" t="s">
        <v>5</v>
      </c>
      <c r="E51" s="3" t="s">
        <v>6</v>
      </c>
    </row>
    <row r="52" customFormat="false" ht="15" hidden="false" customHeight="false" outlineLevel="0" collapsed="false">
      <c r="A52" s="5" t="s">
        <v>83</v>
      </c>
      <c r="B52" s="16" t="n">
        <f aca="false">B5*B7</f>
        <v>57.6</v>
      </c>
      <c r="C52" s="16" t="n">
        <f aca="false">C5*C7</f>
        <v>418.85</v>
      </c>
      <c r="D52" s="16" t="n">
        <f aca="false">D5*D7</f>
        <v>1129.07</v>
      </c>
      <c r="E52" s="7"/>
    </row>
    <row r="53" customFormat="false" ht="15" hidden="false" customHeight="false" outlineLevel="0" collapsed="false">
      <c r="A53" s="5" t="s">
        <v>84</v>
      </c>
      <c r="B53" s="16" t="n">
        <f aca="false">B5</f>
        <v>57.6</v>
      </c>
      <c r="C53" s="16" t="n">
        <f aca="false">C5-B5</f>
        <v>361.25</v>
      </c>
      <c r="D53" s="16" t="n">
        <f aca="false">D5-C5</f>
        <v>710.22</v>
      </c>
      <c r="E53" s="7" t="s">
        <v>85</v>
      </c>
    </row>
    <row r="54" customFormat="false" ht="15" hidden="false" customHeight="false" outlineLevel="0" collapsed="false">
      <c r="A54" s="5" t="s">
        <v>86</v>
      </c>
      <c r="B54" s="17" t="n">
        <f aca="false">(B5+B52)*B11*B12*B13*B10</f>
        <v>10368</v>
      </c>
      <c r="C54" s="17" t="n">
        <f aca="false">(C5+C52)*C11*C12*C13*C10</f>
        <v>226179</v>
      </c>
      <c r="D54" s="17" t="n">
        <f aca="false">(D5+D52)*D11*D12*D13*D10</f>
        <v>812930.4</v>
      </c>
      <c r="E54" s="7" t="s">
        <v>87</v>
      </c>
    </row>
    <row r="55" customFormat="false" ht="15" hidden="false" customHeight="false" outlineLevel="0" collapsed="false">
      <c r="A55" s="5" t="s">
        <v>88</v>
      </c>
      <c r="B55" s="17" t="n">
        <f aca="false">(B18+B19+B20+B21+B22+B23+B24)*12*(1+B49)</f>
        <v>687.42</v>
      </c>
      <c r="C55" s="17" t="n">
        <f aca="false">(C18+C19+C20+C21+C22+C23+C24)*12*(1+C49)</f>
        <v>1569.096</v>
      </c>
      <c r="D55" s="17" t="n">
        <f aca="false">(D18+D19+D20+D21+D22+D23+D24)*12*(1+D49)</f>
        <v>3013.02</v>
      </c>
      <c r="E55" s="7"/>
    </row>
    <row r="56" customFormat="false" ht="15" hidden="false" customHeight="false" outlineLevel="0" collapsed="false">
      <c r="A56" s="5" t="s">
        <v>89</v>
      </c>
      <c r="B56" s="18" t="n">
        <f aca="false">B6*12/(1+B45*B44)</f>
        <v>54.5454545454545</v>
      </c>
      <c r="C56" s="18" t="n">
        <f aca="false">C6*12/(1+C45*C44)</f>
        <v>54.5454545454545</v>
      </c>
      <c r="D56" s="18" t="n">
        <f aca="false">D6*12/(1+D45*D44)</f>
        <v>54.5454545454545</v>
      </c>
      <c r="E56" s="7"/>
    </row>
    <row r="57" customFormat="false" ht="15" hidden="false" customHeight="false" outlineLevel="0" collapsed="false">
      <c r="A57" s="5" t="s">
        <v>90</v>
      </c>
      <c r="B57" s="17" t="n">
        <f aca="false">B39*B40*12*(1+B49)+B41+B42*12+B43*12+B48</f>
        <v>1687.2</v>
      </c>
      <c r="C57" s="17" t="n">
        <f aca="false">C39*C40*12*(1+C49)+C41+C42*12+C43*12+C48</f>
        <v>847.2</v>
      </c>
      <c r="D57" s="17" t="n">
        <f aca="false">D39*D40*12*(1+D49)+D41+D42*12+D43*12+D48</f>
        <v>1720.8</v>
      </c>
      <c r="E57" s="7"/>
    </row>
    <row r="58" customFormat="false" ht="15" hidden="false" customHeight="false" outlineLevel="0" collapsed="false">
      <c r="A58" s="5" t="s">
        <v>91</v>
      </c>
      <c r="B58" s="17" t="n">
        <f aca="false">B27*B29*12</f>
        <v>30000</v>
      </c>
      <c r="C58" s="17" t="n">
        <f aca="false">C27*C29*12</f>
        <v>30000</v>
      </c>
      <c r="D58" s="17" t="n">
        <f aca="false">D27*D29*12</f>
        <v>30000</v>
      </c>
      <c r="E58" s="7"/>
    </row>
    <row r="60" customFormat="false" ht="15" hidden="false" customHeight="false" outlineLevel="0" collapsed="false">
      <c r="A60" s="3" t="s">
        <v>92</v>
      </c>
      <c r="B60" s="4" t="s">
        <v>3</v>
      </c>
      <c r="C60" s="4" t="s">
        <v>4</v>
      </c>
      <c r="D60" s="4" t="s">
        <v>5</v>
      </c>
      <c r="E60" s="3" t="s">
        <v>6</v>
      </c>
    </row>
    <row r="61" customFormat="false" ht="15" hidden="false" customHeight="false" outlineLevel="0" collapsed="false">
      <c r="A61" s="5" t="s">
        <v>93</v>
      </c>
      <c r="B61" s="17" t="n">
        <f aca="false">B5*B56</f>
        <v>3141.81818181818</v>
      </c>
      <c r="C61" s="17" t="n">
        <f aca="false">C5*C56</f>
        <v>22846.3636363636</v>
      </c>
      <c r="D61" s="17" t="n">
        <f aca="false">D5*D56</f>
        <v>61585.6363636364</v>
      </c>
      <c r="E61" s="7" t="s">
        <v>94</v>
      </c>
    </row>
    <row r="62" customFormat="false" ht="15" hidden="false" customHeight="false" outlineLevel="0" collapsed="false">
      <c r="A62" s="5" t="s">
        <v>95</v>
      </c>
      <c r="B62" s="17" t="n">
        <f aca="false">B55</f>
        <v>687.42</v>
      </c>
      <c r="C62" s="17" t="n">
        <f aca="false">C55</f>
        <v>1569.096</v>
      </c>
      <c r="D62" s="17" t="n">
        <f aca="false">D55</f>
        <v>3013.02</v>
      </c>
      <c r="E62" s="7"/>
    </row>
    <row r="63" customFormat="false" ht="15" hidden="false" customHeight="false" outlineLevel="0" collapsed="false">
      <c r="A63" s="19" t="s">
        <v>96</v>
      </c>
      <c r="B63" s="20" t="n">
        <f aca="false">B61-B62</f>
        <v>2454.39818181818</v>
      </c>
      <c r="C63" s="20" t="n">
        <f aca="false">C61-C62</f>
        <v>21277.2676363636</v>
      </c>
      <c r="D63" s="20" t="n">
        <f aca="false">D61-D62</f>
        <v>58572.6163636364</v>
      </c>
      <c r="E63" s="7"/>
    </row>
    <row r="64" customFormat="false" ht="15" hidden="false" customHeight="false" outlineLevel="0" collapsed="false">
      <c r="A64" s="5" t="s">
        <v>97</v>
      </c>
      <c r="B64" s="17" t="n">
        <f aca="false">B33*B61+B34+B53*B36*B35</f>
        <v>471.781818181818</v>
      </c>
      <c r="C64" s="17" t="n">
        <f aca="false">C33*C61+C34+C53*C36*C35</f>
        <v>2645.88636363636</v>
      </c>
      <c r="D64" s="17" t="n">
        <f aca="false">D33*D61+D34+D53*D36*D35</f>
        <v>6868.78363636364</v>
      </c>
      <c r="E64" s="7"/>
    </row>
    <row r="65" customFormat="false" ht="15" hidden="false" customHeight="false" outlineLevel="0" collapsed="false">
      <c r="A65" s="5" t="s">
        <v>98</v>
      </c>
      <c r="B65" s="17" t="n">
        <f aca="false">B57</f>
        <v>1687.2</v>
      </c>
      <c r="C65" s="17" t="n">
        <f aca="false">C57</f>
        <v>847.2</v>
      </c>
      <c r="D65" s="17" t="n">
        <f aca="false">D57</f>
        <v>1720.8</v>
      </c>
      <c r="E65" s="7"/>
    </row>
    <row r="66" customFormat="false" ht="15" hidden="false" customHeight="false" outlineLevel="0" collapsed="false">
      <c r="A66" s="19" t="s">
        <v>99</v>
      </c>
      <c r="B66" s="20" t="n">
        <f aca="false">B63-B64-B65</f>
        <v>295.416363636363</v>
      </c>
      <c r="C66" s="20" t="n">
        <f aca="false">C63-C64-C65</f>
        <v>17784.1812727273</v>
      </c>
      <c r="D66" s="20" t="n">
        <f aca="false">D63-D64-D65</f>
        <v>49983.0327272727</v>
      </c>
      <c r="E66" s="7" t="s">
        <v>100</v>
      </c>
    </row>
    <row r="67" customFormat="false" ht="15" hidden="false" customHeight="false" outlineLevel="0" collapsed="false">
      <c r="A67" s="5" t="s">
        <v>101</v>
      </c>
      <c r="B67" s="17" t="n">
        <f aca="false">MIN(B58,B28*MAX(0,B66))</f>
        <v>0</v>
      </c>
      <c r="C67" s="17" t="n">
        <f aca="false">MIN(C58,C28*MAX(0,C66))</f>
        <v>8892.09063636364</v>
      </c>
      <c r="D67" s="17" t="n">
        <f aca="false">MIN(D58,D28*MAX(0,D66))</f>
        <v>24991.5163636364</v>
      </c>
      <c r="E67" s="7"/>
    </row>
    <row r="68" customFormat="false" ht="15" hidden="false" customHeight="false" outlineLevel="0" collapsed="false">
      <c r="A68" s="5" t="s">
        <v>102</v>
      </c>
      <c r="B68" s="17" t="n">
        <f aca="false">B67*(1+B30)</f>
        <v>0</v>
      </c>
      <c r="C68" s="17" t="n">
        <f aca="false">C67*(1+C30)</f>
        <v>9425.61607454545</v>
      </c>
      <c r="D68" s="17" t="n">
        <f aca="false">D67*(1+D30)</f>
        <v>26740.9225090909</v>
      </c>
      <c r="E68" s="7"/>
    </row>
    <row r="69" customFormat="false" ht="15" hidden="false" customHeight="false" outlineLevel="0" collapsed="false">
      <c r="A69" s="19" t="s">
        <v>103</v>
      </c>
      <c r="B69" s="20" t="n">
        <f aca="false">B66-B68</f>
        <v>295.416363636363</v>
      </c>
      <c r="C69" s="20" t="n">
        <f aca="false">C66-C68</f>
        <v>8358.56519818182</v>
      </c>
      <c r="D69" s="20" t="n">
        <f aca="false">D66-D68</f>
        <v>23242.1102181818</v>
      </c>
      <c r="E69" s="7"/>
    </row>
    <row r="70" customFormat="false" ht="15" hidden="false" customHeight="false" outlineLevel="0" collapsed="false">
      <c r="A70" s="5" t="s">
        <v>104</v>
      </c>
      <c r="B70" s="17" t="n">
        <f aca="false">B69</f>
        <v>295.416363636363</v>
      </c>
      <c r="C70" s="17" t="n">
        <f aca="false">B70+C69</f>
        <v>8653.98156181818</v>
      </c>
      <c r="D70" s="17" t="n">
        <f aca="false">C70+D69</f>
        <v>31896.09178</v>
      </c>
      <c r="E70" s="7"/>
    </row>
    <row r="71" customFormat="false" ht="15" hidden="false" customHeight="false" outlineLevel="0" collapsed="false">
      <c r="A71" s="5" t="s">
        <v>74</v>
      </c>
      <c r="B71" s="17" t="n">
        <f aca="false">MAX(B47*B61,B46*MAX(0,MIN(B69,B70)))</f>
        <v>59.0832727272727</v>
      </c>
      <c r="C71" s="17" t="n">
        <f aca="false">MAX(C47*C61,C46*MAX(0,MIN(C69,C70)))</f>
        <v>1671.71303963636</v>
      </c>
      <c r="D71" s="17" t="n">
        <f aca="false">MAX(D47*D61,D46*MAX(0,MIN(D69,D70)))</f>
        <v>4648.42204363636</v>
      </c>
      <c r="E71" s="7" t="s">
        <v>105</v>
      </c>
    </row>
    <row r="72" customFormat="false" ht="15" hidden="false" customHeight="false" outlineLevel="0" collapsed="false">
      <c r="A72" s="19" t="s">
        <v>106</v>
      </c>
      <c r="B72" s="20" t="n">
        <f aca="false">B69-B71</f>
        <v>236.333090909091</v>
      </c>
      <c r="C72" s="20" t="n">
        <f aca="false">C69-C71</f>
        <v>6686.85215854545</v>
      </c>
      <c r="D72" s="20" t="n">
        <f aca="false">D69-D71</f>
        <v>18593.6881745454</v>
      </c>
      <c r="E72" s="7"/>
    </row>
    <row r="73" customFormat="false" ht="15" hidden="false" customHeight="false" outlineLevel="0" collapsed="false">
      <c r="A73" s="5" t="s">
        <v>107</v>
      </c>
      <c r="B73" s="17" t="n">
        <f aca="false">B72</f>
        <v>236.333090909091</v>
      </c>
      <c r="C73" s="17" t="n">
        <f aca="false">B73+C72</f>
        <v>6923.18524945454</v>
      </c>
      <c r="D73" s="17" t="n">
        <f aca="false">C73+D72</f>
        <v>25516.873424</v>
      </c>
      <c r="E73" s="7"/>
    </row>
    <row r="74" customFormat="false" ht="15" hidden="false" customHeight="false" outlineLevel="0" collapsed="false">
      <c r="A74" s="19" t="s">
        <v>108</v>
      </c>
      <c r="B74" s="20" t="n">
        <f aca="false">B67/B27/12</f>
        <v>0</v>
      </c>
      <c r="C74" s="20" t="n">
        <f aca="false">C67/C27/12</f>
        <v>148.201510606061</v>
      </c>
      <c r="D74" s="20" t="n">
        <f aca="false">D67/D27/12</f>
        <v>416.525272727273</v>
      </c>
      <c r="E74" s="7"/>
    </row>
    <row r="76" customFormat="false" ht="15" hidden="false" customHeight="false" outlineLevel="0" collapsed="false">
      <c r="A76" s="3" t="s">
        <v>109</v>
      </c>
      <c r="B76" s="4" t="s">
        <v>3</v>
      </c>
      <c r="C76" s="4" t="s">
        <v>4</v>
      </c>
      <c r="D76" s="4" t="s">
        <v>5</v>
      </c>
      <c r="E76" s="3" t="s">
        <v>6</v>
      </c>
    </row>
    <row r="77" customFormat="false" ht="15" hidden="false" customHeight="false" outlineLevel="0" collapsed="false">
      <c r="A77" s="5" t="s">
        <v>110</v>
      </c>
      <c r="B77" s="17" t="n">
        <f aca="false">B61</f>
        <v>3141.81818181818</v>
      </c>
      <c r="C77" s="17" t="n">
        <f aca="false">C61</f>
        <v>22846.3636363636</v>
      </c>
      <c r="D77" s="17" t="n">
        <f aca="false">D61</f>
        <v>61585.6363636364</v>
      </c>
      <c r="E77" s="7"/>
    </row>
    <row r="78" customFormat="false" ht="15" hidden="false" customHeight="false" outlineLevel="0" collapsed="false">
      <c r="A78" s="5" t="s">
        <v>111</v>
      </c>
      <c r="B78" s="17" t="n">
        <f aca="false">B54*B14/(1+B45*B44)</f>
        <v>282.763636363636</v>
      </c>
      <c r="C78" s="17" t="n">
        <f aca="false">C54*C14/(1+C45*C44)</f>
        <v>6168.51818181818</v>
      </c>
      <c r="D78" s="17" t="n">
        <f aca="false">D54*D14/(1+D45*D44)</f>
        <v>22170.8290909091</v>
      </c>
      <c r="E78" s="7"/>
    </row>
    <row r="79" customFormat="false" ht="15" hidden="false" customHeight="false" outlineLevel="0" collapsed="false">
      <c r="A79" s="5" t="s">
        <v>112</v>
      </c>
      <c r="B79" s="17" t="n">
        <f aca="false">B77+B78</f>
        <v>3424.58181818182</v>
      </c>
      <c r="C79" s="17" t="n">
        <f aca="false">C77+C78</f>
        <v>29014.8818181818</v>
      </c>
      <c r="D79" s="17" t="n">
        <f aca="false">D77+D78</f>
        <v>83756.4654545454</v>
      </c>
      <c r="E79" s="7"/>
    </row>
    <row r="80" customFormat="false" ht="15" hidden="false" customHeight="false" outlineLevel="0" collapsed="false">
      <c r="A80" s="5" t="s">
        <v>113</v>
      </c>
      <c r="B80" s="17" t="n">
        <f aca="false">B55+B54*B15</f>
        <v>739.26</v>
      </c>
      <c r="C80" s="17" t="n">
        <f aca="false">C55+C54*C15</f>
        <v>2699.991</v>
      </c>
      <c r="D80" s="17" t="n">
        <f aca="false">D55+D54*D15</f>
        <v>7077.672</v>
      </c>
      <c r="E80" s="7"/>
    </row>
    <row r="81" customFormat="false" ht="15" hidden="false" customHeight="false" outlineLevel="0" collapsed="false">
      <c r="A81" s="19" t="s">
        <v>96</v>
      </c>
      <c r="B81" s="20" t="n">
        <f aca="false">B79-B80</f>
        <v>2685.32181818182</v>
      </c>
      <c r="C81" s="20" t="n">
        <f aca="false">C79-C80</f>
        <v>26314.8908181818</v>
      </c>
      <c r="D81" s="20" t="n">
        <f aca="false">D79-D80</f>
        <v>76678.7934545454</v>
      </c>
      <c r="E81" s="7"/>
    </row>
    <row r="82" customFormat="false" ht="15" hidden="false" customHeight="false" outlineLevel="0" collapsed="false">
      <c r="A82" s="5" t="s">
        <v>97</v>
      </c>
      <c r="B82" s="17" t="n">
        <f aca="false">B33*B79+B34+B53*B36*B35</f>
        <v>500.058181818182</v>
      </c>
      <c r="C82" s="17" t="n">
        <f aca="false">C33*C79+C34+C53*C36*C35</f>
        <v>3262.73818181818</v>
      </c>
      <c r="D82" s="17" t="n">
        <f aca="false">D33*D79+D34+D53*D36*D35</f>
        <v>9085.86654545454</v>
      </c>
      <c r="E82" s="7"/>
    </row>
    <row r="83" customFormat="false" ht="15" hidden="false" customHeight="false" outlineLevel="0" collapsed="false">
      <c r="A83" s="19" t="s">
        <v>99</v>
      </c>
      <c r="B83" s="20" t="n">
        <f aca="false">B81-B82-B57</f>
        <v>498.063636363636</v>
      </c>
      <c r="C83" s="20" t="n">
        <f aca="false">C81-C82-C57</f>
        <v>22204.9526363636</v>
      </c>
      <c r="D83" s="20" t="n">
        <f aca="false">D81-D82-D57</f>
        <v>65872.1269090909</v>
      </c>
      <c r="E83" s="7"/>
    </row>
    <row r="84" customFormat="false" ht="15" hidden="false" customHeight="false" outlineLevel="0" collapsed="false">
      <c r="A84" s="5" t="s">
        <v>101</v>
      </c>
      <c r="B84" s="17" t="n">
        <f aca="false">MIN(B58,B28*MAX(0,B83))</f>
        <v>0</v>
      </c>
      <c r="C84" s="17" t="n">
        <f aca="false">MIN(C58,C28*MAX(0,C83))</f>
        <v>11102.4763181818</v>
      </c>
      <c r="D84" s="17" t="n">
        <f aca="false">MIN(D58,D28*MAX(0,D83))</f>
        <v>30000</v>
      </c>
      <c r="E84" s="7"/>
    </row>
    <row r="85" customFormat="false" ht="15" hidden="false" customHeight="false" outlineLevel="0" collapsed="false">
      <c r="A85" s="19" t="s">
        <v>103</v>
      </c>
      <c r="B85" s="20" t="n">
        <f aca="false">B83-B84*(1+B30)</f>
        <v>498.063636363636</v>
      </c>
      <c r="C85" s="20" t="n">
        <f aca="false">C83-C84*(1+C30)</f>
        <v>10436.3277390909</v>
      </c>
      <c r="D85" s="20" t="n">
        <f aca="false">D83-D84*(1+D30)</f>
        <v>33772.1269090909</v>
      </c>
      <c r="E85" s="7"/>
    </row>
    <row r="86" customFormat="false" ht="15" hidden="false" customHeight="false" outlineLevel="0" collapsed="false">
      <c r="A86" s="5" t="s">
        <v>104</v>
      </c>
      <c r="B86" s="17" t="n">
        <f aca="false">B85</f>
        <v>498.063636363636</v>
      </c>
      <c r="C86" s="17" t="n">
        <f aca="false">B86+C85</f>
        <v>10934.3913754545</v>
      </c>
      <c r="D86" s="17" t="n">
        <f aca="false">C86+D85</f>
        <v>44706.5182845454</v>
      </c>
      <c r="E86" s="7"/>
    </row>
    <row r="87" customFormat="false" ht="15" hidden="false" customHeight="false" outlineLevel="0" collapsed="false">
      <c r="A87" s="5" t="s">
        <v>74</v>
      </c>
      <c r="B87" s="17" t="n">
        <f aca="false">MAX(B47*B79,B46*MAX(0,MIN(B85,B86)))</f>
        <v>99.6127272727271</v>
      </c>
      <c r="C87" s="17" t="n">
        <f aca="false">MAX(C47*C79,C46*MAX(0,MIN(C85,C86)))</f>
        <v>2087.26554781818</v>
      </c>
      <c r="D87" s="17" t="n">
        <f aca="false">MAX(D47*D79,D46*MAX(0,MIN(D85,D86)))</f>
        <v>6754.42538181818</v>
      </c>
      <c r="E87" s="7"/>
    </row>
    <row r="88" customFormat="false" ht="15" hidden="false" customHeight="false" outlineLevel="0" collapsed="false">
      <c r="A88" s="19" t="s">
        <v>106</v>
      </c>
      <c r="B88" s="20" t="n">
        <f aca="false">B85-B87</f>
        <v>398.450909090909</v>
      </c>
      <c r="C88" s="20" t="n">
        <f aca="false">C85-C87</f>
        <v>8349.06219127273</v>
      </c>
      <c r="D88" s="20" t="n">
        <f aca="false">D85-D87</f>
        <v>27017.7015272727</v>
      </c>
      <c r="E88" s="7"/>
    </row>
    <row r="89" customFormat="false" ht="15" hidden="false" customHeight="false" outlineLevel="0" collapsed="false">
      <c r="A89" s="19" t="s">
        <v>108</v>
      </c>
      <c r="B89" s="20" t="n">
        <f aca="false">B84/B27/12</f>
        <v>0</v>
      </c>
      <c r="C89" s="20" t="n">
        <f aca="false">C84/C27/12</f>
        <v>185.041271969697</v>
      </c>
      <c r="D89" s="20" t="n">
        <f aca="false">D84/D27/12</f>
        <v>500</v>
      </c>
      <c r="E89" s="7"/>
    </row>
    <row r="91" customFormat="false" ht="15" hidden="false" customHeight="false" outlineLevel="0" collapsed="false">
      <c r="A91" s="3" t="s">
        <v>114</v>
      </c>
      <c r="B91" s="4" t="s">
        <v>3</v>
      </c>
      <c r="C91" s="4" t="s">
        <v>4</v>
      </c>
      <c r="D91" s="4" t="s">
        <v>5</v>
      </c>
      <c r="E91" s="3" t="s">
        <v>6</v>
      </c>
    </row>
    <row r="92" customFormat="false" ht="15" hidden="false" customHeight="false" outlineLevel="0" collapsed="false">
      <c r="A92" s="5" t="s">
        <v>115</v>
      </c>
      <c r="B92" s="21" t="n">
        <f aca="false">(B62+B57+B34+B53*B36*B35)/(B56*(1-B33))</f>
        <v>51.5822592592593</v>
      </c>
      <c r="C92" s="21" t="n">
        <f aca="false">(C62+C57+C34+C53*C36*C35)/(C56*(1-C33))</f>
        <v>56.5796407407408</v>
      </c>
      <c r="D92" s="21" t="n">
        <f aca="false">(D62+D57+D34+D53*D36*D35)/(D56*(1-D33))</f>
        <v>110.897111111111</v>
      </c>
      <c r="E92" s="7" t="s">
        <v>116</v>
      </c>
    </row>
    <row r="93" customFormat="false" ht="15" hidden="false" customHeight="false" outlineLevel="0" collapsed="false">
      <c r="A93" s="5" t="s">
        <v>117</v>
      </c>
      <c r="B93" s="21" t="n">
        <f aca="false">(B62+B57+B34+B53*B36*B35+B58*(1+B30))/(B56*(1-B33))</f>
        <v>699.360037037037</v>
      </c>
      <c r="C93" s="21" t="n">
        <f aca="false">(C62+C57+C34+C53*C36*C35+C58*(1+C30))/(C56*(1-C33))</f>
        <v>704.357418518519</v>
      </c>
      <c r="D93" s="21" t="n">
        <f aca="false">(D62+D57+D34+D53*D36*D35+D58*(1+D30))/(D56*(1-D33))</f>
        <v>764.786</v>
      </c>
      <c r="E93" s="7" t="s">
        <v>118</v>
      </c>
    </row>
    <row r="94" customFormat="false" ht="15" hidden="false" customHeight="false" outlineLevel="0" collapsed="false">
      <c r="A94" s="5" t="s">
        <v>119</v>
      </c>
      <c r="B94" s="22" t="n">
        <f aca="false">B93/65433</f>
        <v>0.01068818542688</v>
      </c>
      <c r="C94" s="22" t="n">
        <f aca="false">C93/65433</f>
        <v>0.0107645594504076</v>
      </c>
      <c r="D94" s="22" t="n">
        <f aca="false">D93/65433</f>
        <v>0.0116880778811915</v>
      </c>
      <c r="E94" s="7" t="s">
        <v>120</v>
      </c>
    </row>
    <row r="95" customFormat="false" ht="15" hidden="false" customHeight="false" outlineLevel="0" collapsed="false">
      <c r="A95" s="5" t="s">
        <v>121</v>
      </c>
      <c r="B95" s="17" t="n">
        <f aca="false">B41+B34+B55/4</f>
        <v>1111.855</v>
      </c>
      <c r="C95" s="17" t="n">
        <f aca="false">0</f>
        <v>0</v>
      </c>
      <c r="D95" s="17" t="n">
        <f aca="false">0</f>
        <v>0</v>
      </c>
      <c r="E95" s="7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2026-09-25T18:51:46Z</dcterms:created>
  <dc:creator>openpyxl</dc:creator>
  <dc:description/>
  <dc:language>en-US</dc:language>
  <cp:lastModifiedBy/>
  <dcterms:modified xsi:type="dcterms:W3CDTF">2026-09-25T18:51:46Z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