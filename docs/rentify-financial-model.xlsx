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<sst xmlns="http://schemas.openxmlformats.org/spreadsheetml/2006/main" count="163" uniqueCount="120">
  <si>
    <t xml:space="preserve">Rentify - three-year financial model (bottom-up, v3, Sept 2026)</t>
  </si>
  <si>
    <t xml:space="preserve">Blue = input you can change. Black = formula. Yellow = key assumption to test in the pilot. Years start with the public launch in 2027; the Q4 2026 pilot is covered by Year 1 costs.</t>
  </si>
  <si>
    <t xml:space="preserve">INPUTS - shops</t>
  </si>
  <si>
    <t xml:space="preserve">Year 1 (2027)</t>
  </si>
  <si>
    <t xml:space="preserve">Year 2 (2028)</t>
  </si>
  <si>
    <t xml:space="preserve">Year 3 (2029)</t>
  </si>
  <si>
    <t xml:space="preserve">Basis / source</t>
  </si>
  <si>
    <t xml:space="preserve">Average paying shops</t>
  </si>
  <si>
    <t xml:space="preserve">Yearly average from the team's 36-month model (its subscription revenue / US$60). Unchanged, so the market slides stay consistent.</t>
  </si>
  <si>
    <t xml:space="preserve">Average plan price ($/shop/month)</t>
  </si>
  <si>
    <t xml:space="preserve">Starter $5 / Pro $10; $5 average is conservative. Proposed prices, to test in the pilot.</t>
  </si>
  <si>
    <t xml:space="preserve">Free-plan shops per paying shop</t>
  </si>
  <si>
    <t xml:space="preserve">Assumption: one marketplace-only Free shop for every paying shop. They pay no subscription but can pay commission.</t>
  </si>
  <si>
    <t xml:space="preserve">INPUTS - marketplace commission (commission scenario only)</t>
  </si>
  <si>
    <t xml:space="preserve">Months with online payments</t>
  </si>
  <si>
    <t xml:space="preserve">Online (KHQR) payments and commission start mid-2027 (roadmap). Cash-on-delivery orders earn no commission.</t>
  </si>
  <si>
    <t xml:space="preserve">Share of shops getting marketplace orders</t>
  </si>
  <si>
    <t xml:space="preserve">Assumption: half of all shops receive at least some marketplace-sourced orders.</t>
  </si>
  <si>
    <t xml:space="preserve">Marketplace orders per such shop per month</t>
  </si>
  <si>
    <t xml:space="preserve">Assumption: grows as buyers discover more shops. Measure in the pilot.</t>
  </si>
  <si>
    <t xml:space="preserve">Average marketplace order value ($)</t>
  </si>
  <si>
    <t xml:space="preserve">Assumption for fashion/beauty/home goods. Measure in the pilot.</t>
  </si>
  <si>
    <t xml:space="preserve">Commission rate</t>
  </si>
  <si>
    <t xml:space="preserve">Proposed 3% on marketplace-sourced orders only; 0% on the shop's own storefront and counter sales.</t>
  </si>
  <si>
    <t xml:space="preserve">Payment cost (% of marketplace sales)</t>
  </si>
  <si>
    <t xml:space="preserve">Blended estimate: ABA-to-ABA KHQR reportedly free; interbank and card payments cost more. Confirm with ABA PayWay.</t>
  </si>
  <si>
    <t xml:space="preserve">INPUTS - infrastructure ($/month)</t>
  </si>
  <si>
    <t xml:space="preserve">App servers (DigitalOcean droplets, Singapore)</t>
  </si>
  <si>
    <t xml:space="preserve">Y1: 1 x 2 vCPU/4 GB ($24). Y2: 2 x 4 GB. Y3: 2 x 4 vCPU/8 GB ($48 each). Docker runs on these; Docker itself is free. digitalocean.com/pricing/droplets</t>
  </si>
  <si>
    <t xml:space="preserve">Managed PostgreSQL database</t>
  </si>
  <si>
    <t xml:space="preserve">Y1: 1 GB plan ($15). Y2: 1 vCPU/2 GB ($30.45). Y3: ~4 GB plan (estimate, about double). digitalocean.com/pricing/managed-databases</t>
  </si>
  <si>
    <t xml:space="preserve">Product photo storage (Spaces)</t>
  </si>
  <si>
    <t xml:space="preserve">$5/month includes 250 GiB; extra $0.02/GiB. docs.digitalocean.com/products/spaces/details/pricing</t>
  </si>
  <si>
    <t xml:space="preserve">Server backups</t>
  </si>
  <si>
    <t xml:space="preserve">Estimate: about 20% of droplet cost for weekly backups.</t>
  </si>
  <si>
    <t xml:space="preserve">Transactional email (Resend)</t>
  </si>
  <si>
    <t xml:space="preserve">Free up to 3,000 emails/month; Pro $20 for 50,000. resend.com/pricing</t>
  </si>
  <si>
    <t xml:space="preserve">Load balancer</t>
  </si>
  <si>
    <t xml:space="preserve">Estimate for a small DigitalOcean load balancer once two app servers share traffic.</t>
  </si>
  <si>
    <t xml:space="preserve">Domain and DNS</t>
  </si>
  <si>
    <t xml:space="preserve">About $15/year. SSL is free (Let's Encrypt). Merchants buy their own custom domains.</t>
  </si>
  <si>
    <t xml:space="preserve">INPUTS - team</t>
  </si>
  <si>
    <t xml:space="preserve">Founders (whole team)</t>
  </si>
  <si>
    <t xml:space="preserve">All 5 team members hold equity and take the same small allowance.</t>
  </si>
  <si>
    <t xml:space="preserve">Founder allowance ($/founder/month)</t>
  </si>
  <si>
    <t xml:space="preserve">Founders hold equity, so pay is low: transport and phone in Y1, then a small allowance. Cambodia's 2026 garment minimum wage is $210/month for reference. Up to KHR 1.5M (~$375)/month is free of salary tax; above that the employee pays 5%+ (withheld, not a company cost).</t>
  </si>
  <si>
    <t xml:space="preserve">Onboarding/support staff (people)</t>
  </si>
  <si>
    <t xml:space="preserve">Founders do onboarding and support until Year 3.</t>
  </si>
  <si>
    <t xml:space="preserve">Staff salary ($/month)</t>
  </si>
  <si>
    <t xml:space="preserve">Cambodian customer-support roles are reported at about $450-900/month.</t>
  </si>
  <si>
    <t xml:space="preserve">Employer social security (NSSF, % of pay)</t>
  </si>
  <si>
    <t xml:space="preserve">Occupational risk, health care and pension contributions paid by the employer; the pension share rises from 2027. Approximate.</t>
  </si>
  <si>
    <t xml:space="preserve">INPUTS - sales and marketing</t>
  </si>
  <si>
    <t xml:space="preserve">Facebook ads ($/month)</t>
  </si>
  <si>
    <t xml:space="preserve">Assumption: small targeted budget that grows with the business.</t>
  </si>
  <si>
    <t xml:space="preserve">Printed QR stands and flyers ($/year)</t>
  </si>
  <si>
    <t xml:space="preserve">Assumption.</t>
  </si>
  <si>
    <t xml:space="preserve">Festival and category campaigns ($/year)</t>
  </si>
  <si>
    <t xml:space="preserve">Assumption, e.g. Khmer New Year campaigns.</t>
  </si>
  <si>
    <t xml:space="preserve">Referral credit per referred paying shop ($)</t>
  </si>
  <si>
    <t xml:space="preserve">One month free for the shop that refers another.</t>
  </si>
  <si>
    <t xml:space="preserve">Share of new paying shops that come by referral</t>
  </si>
  <si>
    <t xml:space="preserve">INPUTS - software, office, legal and tax</t>
  </si>
  <si>
    <t xml:space="preserve">AI tools ($/founder/month)</t>
  </si>
  <si>
    <t xml:space="preserve">Claude Pro or ChatGPT Plus, about $20/month each. Code hosting (GitHub) and design tools use free plans.</t>
  </si>
  <si>
    <t xml:space="preserve">Company registration (one-off)</t>
  </si>
  <si>
    <t xml:space="preserve">Ministry of Commerce fee about KHR 2,155,000 (~$540) plus ~$300 notary/legal help. Year 1 only.</t>
  </si>
  <si>
    <t xml:space="preserve">Bookkeeping and tax filing ($/month)</t>
  </si>
  <si>
    <t xml:space="preserve">Founders in Y1; outsourced accountant from Y2 (assumption).</t>
  </si>
  <si>
    <t xml:space="preserve">Coworking desk ($/month)</t>
  </si>
  <si>
    <t xml:space="preserve">Remote/university space until Year 3 (assumption).</t>
  </si>
  <si>
    <t xml:space="preserve">VAT-registered (1 = yes)</t>
  </si>
  <si>
    <t xml:space="preserve">VAT is compulsory above KHR 250M (~$62,500) turnover a year; Rentify passes that in Year 3. A company holding customer payments will likely register from the start, so this is on from Year 1 (conservative).</t>
  </si>
  <si>
    <t xml:space="preserve">VAT rate (included in our prices)</t>
  </si>
  <si>
    <t xml:space="preserve">10% VAT is charged on sales and passed to the government; it is not a tax on profit. Prices stay $5 incl. VAT, so Rentify keeps $5 / 1.1 = $4.55. VAT we pay on costs can be reclaimed, so costs are shown without VAT.</t>
  </si>
  <si>
    <t xml:space="preserve">Tax on profit</t>
  </si>
  <si>
    <t xml:space="preserve">20% for companies (medium/large taxpayers). Losses carried forward. IT startups may get a 2-5 year exemption (SME Sub-decree 124, MSME incentives); not assumed here.</t>
  </si>
  <si>
    <t xml:space="preserve">Prepayment of profit tax (% of revenue)</t>
  </si>
  <si>
    <t xml:space="preserve">1% of monthly turnover, credited against profit tax. In loss years it is treated as a cost (conservative). The separate 1% minimum tax does not apply to companies that keep proper accounts.</t>
  </si>
  <si>
    <t xml:space="preserve">Patent tax (annual business tax, $)</t>
  </si>
  <si>
    <t xml:space="preserve">KHR 1.2M (~$300) a year for a medium taxpayer. Small enterprises can be exempt for 2 years.</t>
  </si>
  <si>
    <t xml:space="preserve">Withholding tax on foreign services</t>
  </si>
  <si>
    <t xml:space="preserve">14% on payments to non-resident suppliers (servers, AI tools, Facebook ads), assumed paid by Rentify on top (conservative).</t>
  </si>
  <si>
    <t xml:space="preserve">Market salary check ($/founder/month)</t>
  </si>
  <si>
    <t xml:space="preserve">Used only in the sensitivity row: what if all 5 founders were paid a typical Phnom Penh developer salary (~$1,000-1,400/month)?</t>
  </si>
  <si>
    <t xml:space="preserve">CALCULATIONS</t>
  </si>
  <si>
    <t xml:space="preserve">Free-plan shops</t>
  </si>
  <si>
    <t xml:space="preserve">New paying shops in the year</t>
  </si>
  <si>
    <t xml:space="preserve">Increase in average paying shops (Year 1 starts from zero).</t>
  </si>
  <si>
    <t xml:space="preserve">Marketplace sales through Rentify (GMV)</t>
  </si>
  <si>
    <t xml:space="preserve">Sales value of marketplace orders, not Rentify revenue.</t>
  </si>
  <si>
    <t xml:space="preserve">Infrastructure cost incl. withholding tax ($/year)</t>
  </si>
  <si>
    <t xml:space="preserve">P&amp;L - BASE CASE (subscriptions only)</t>
  </si>
  <si>
    <t xml:space="preserve">Subscription revenue (excl. VAT)</t>
  </si>
  <si>
    <t xml:space="preserve">Customers pay $5 incl. VAT; the VAT part goes to the government.</t>
  </si>
  <si>
    <t xml:space="preserve">Cost of service (infrastructure)</t>
  </si>
  <si>
    <t xml:space="preserve">Gross profit</t>
  </si>
  <si>
    <t xml:space="preserve">Team (incl. NSSF)</t>
  </si>
  <si>
    <t xml:space="preserve">Sales &amp; marketing</t>
  </si>
  <si>
    <t xml:space="preserve">Software, office, legal, patent tax</t>
  </si>
  <si>
    <t xml:space="preserve">Result before tax</t>
  </si>
  <si>
    <t xml:space="preserve">Cumulative result before tax</t>
  </si>
  <si>
    <t xml:space="preserve">Higher of the 1% prepayment and 20% profit tax; profit tax only on profit left after earlier losses.</t>
  </si>
  <si>
    <t xml:space="preserve">Net result</t>
  </si>
  <si>
    <t xml:space="preserve">Cumulative net result</t>
  </si>
  <si>
    <t xml:space="preserve">P&amp;L - WITH 3% COMMISSION (upside scenario)</t>
  </si>
  <si>
    <t xml:space="preserve">Subscription revenue</t>
  </si>
  <si>
    <t xml:space="preserve">Commission revenue (excl. VAT)</t>
  </si>
  <si>
    <t xml:space="preserve">Total revenue</t>
  </si>
  <si>
    <t xml:space="preserve">Cost of service (infrastructure + payment cost)</t>
  </si>
  <si>
    <t xml:space="preserve">Operating costs (same as base)</t>
  </si>
  <si>
    <t xml:space="preserve">KEY FIGURES</t>
  </si>
  <si>
    <t xml:space="preserve">Break-even paying shops (base case, that year's costs)</t>
  </si>
  <si>
    <t xml:space="preserve">Yearly fixed costs / yearly subscription per shop. Infrastructure is treated as fixed at this scale.</t>
  </si>
  <si>
    <t xml:space="preserve">Break-even as share of SAM (65,433 stores)</t>
  </si>
  <si>
    <t xml:space="preserve">NIS Economic Census 2022, ISIC 4741-4774.</t>
  </si>
  <si>
    <t xml:space="preserve">Funding needed (largest cumulative loss, base case)</t>
  </si>
  <si>
    <t xml:space="preserve">Cash the team must raise (prize money, grants, savings) before profits cover costs.</t>
  </si>
  <si>
    <t xml:space="preserve">Sensitivity: net result if founders earned market salary</t>
  </si>
  <si>
    <t xml:space="preserve">Approximate: base-case net result with founder pay raised to the market-salary check. Shows the model does not depend on unpaid work forever.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</si>
</sst>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-"/>
    <numFmt numFmtId="166" formatCode="\$#,##0.00;&quot;($&quot;#,##0.00\);\-"/>
    <numFmt numFmtId="167" formatCode="0.0"/>
    <numFmt numFmtId="168" formatCode="#,##0;\(#,##0\);\-"/>
    <numFmt numFmtId="169" formatCode="0.0%;\(0.0%\);\-"/>
    <numFmt numFmtId="170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2637A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D35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1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D7E1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3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11D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</row>
    <row r="5" customFormat="false" ht="26.85" hidden="false" customHeight="false" outlineLevel="0" collapsed="false">
      <c r="A5" s="5" t="s">
        <v>7</v>
      </c>
      <c r="B5" s="6" t="n">
        <v>57.6</v>
      </c>
      <c r="C5" s="6" t="n">
        <v>418.85</v>
      </c>
      <c r="D5" s="6" t="n">
        <v>1129.07</v>
      </c>
      <c r="E5" s="7" t="s">
        <v>8</v>
      </c>
    </row>
    <row r="6" customFormat="false" ht="15" hidden="false" customHeight="false" outlineLevel="0" collapsed="false">
      <c r="A6" s="5" t="s">
        <v>9</v>
      </c>
      <c r="B6" s="8" t="n">
        <v>5</v>
      </c>
      <c r="C6" s="8" t="n">
        <v>5</v>
      </c>
      <c r="D6" s="8" t="n">
        <v>5</v>
      </c>
      <c r="E6" s="7" t="s">
        <v>10</v>
      </c>
    </row>
    <row r="7" customFormat="false" ht="15" hidden="false" customHeight="false" outlineLevel="0" collapsed="false">
      <c r="A7" s="5" t="s">
        <v>11</v>
      </c>
      <c r="B7" s="9" t="n">
        <v>1</v>
      </c>
      <c r="C7" s="9" t="n">
        <v>1</v>
      </c>
      <c r="D7" s="9" t="n">
        <v>1</v>
      </c>
      <c r="E7" s="7" t="s">
        <v>12</v>
      </c>
    </row>
    <row r="9" customFormat="false" ht="15" hidden="false" customHeight="false" outlineLevel="0" collapsed="false">
      <c r="A9" s="3" t="s">
        <v>13</v>
      </c>
      <c r="B9" s="4" t="s">
        <v>3</v>
      </c>
      <c r="C9" s="4" t="s">
        <v>4</v>
      </c>
      <c r="D9" s="4" t="s">
        <v>5</v>
      </c>
      <c r="E9" s="3" t="s">
        <v>6</v>
      </c>
    </row>
    <row r="10" customFormat="false" ht="15" hidden="false" customHeight="false" outlineLevel="0" collapsed="false">
      <c r="A10" s="5" t="s">
        <v>14</v>
      </c>
      <c r="B10" s="10" t="n">
        <v>6</v>
      </c>
      <c r="C10" s="10" t="n">
        <v>12</v>
      </c>
      <c r="D10" s="10" t="n">
        <v>12</v>
      </c>
      <c r="E10" s="7" t="s">
        <v>15</v>
      </c>
    </row>
    <row r="11" customFormat="false" ht="15" hidden="false" customHeight="false" outlineLevel="0" collapsed="false">
      <c r="A11" s="5" t="s">
        <v>16</v>
      </c>
      <c r="B11" s="11" t="n">
        <v>0.5</v>
      </c>
      <c r="C11" s="11" t="n">
        <v>0.5</v>
      </c>
      <c r="D11" s="11" t="n">
        <v>0.5</v>
      </c>
      <c r="E11" s="7" t="s">
        <v>17</v>
      </c>
    </row>
    <row r="12" customFormat="false" ht="15" hidden="false" customHeight="false" outlineLevel="0" collapsed="false">
      <c r="A12" s="5" t="s">
        <v>18</v>
      </c>
      <c r="B12" s="12" t="n">
        <v>2</v>
      </c>
      <c r="C12" s="12" t="n">
        <v>3</v>
      </c>
      <c r="D12" s="12" t="n">
        <v>4</v>
      </c>
      <c r="E12" s="7" t="s">
        <v>19</v>
      </c>
    </row>
    <row r="13" customFormat="false" ht="15" hidden="false" customHeight="false" outlineLevel="0" collapsed="false">
      <c r="A13" s="5" t="s">
        <v>20</v>
      </c>
      <c r="B13" s="8" t="n">
        <v>15</v>
      </c>
      <c r="C13" s="8" t="n">
        <v>15</v>
      </c>
      <c r="D13" s="8" t="n">
        <v>15</v>
      </c>
      <c r="E13" s="7" t="s">
        <v>21</v>
      </c>
    </row>
    <row r="14" customFormat="false" ht="15" hidden="false" customHeight="false" outlineLevel="0" collapsed="false">
      <c r="A14" s="5" t="s">
        <v>22</v>
      </c>
      <c r="B14" s="11" t="n">
        <v>0.03</v>
      </c>
      <c r="C14" s="11" t="n">
        <v>0.03</v>
      </c>
      <c r="D14" s="11" t="n">
        <v>0.03</v>
      </c>
      <c r="E14" s="7" t="s">
        <v>23</v>
      </c>
    </row>
    <row r="15" customFormat="false" ht="15" hidden="false" customHeight="false" outlineLevel="0" collapsed="false">
      <c r="A15" s="5" t="s">
        <v>24</v>
      </c>
      <c r="B15" s="13" t="n">
        <v>0.005</v>
      </c>
      <c r="C15" s="13" t="n">
        <v>0.005</v>
      </c>
      <c r="D15" s="13" t="n">
        <v>0.005</v>
      </c>
      <c r="E15" s="7" t="s">
        <v>25</v>
      </c>
    </row>
    <row r="17" customFormat="false" ht="15" hidden="false" customHeight="false" outlineLevel="0" collapsed="false">
      <c r="A17" s="3" t="s">
        <v>26</v>
      </c>
      <c r="B17" s="4" t="s">
        <v>3</v>
      </c>
      <c r="C17" s="4" t="s">
        <v>4</v>
      </c>
      <c r="D17" s="4" t="s">
        <v>5</v>
      </c>
      <c r="E17" s="3" t="s">
        <v>6</v>
      </c>
    </row>
    <row r="18" customFormat="false" ht="26.85" hidden="false" customHeight="false" outlineLevel="0" collapsed="false">
      <c r="A18" s="5" t="s">
        <v>27</v>
      </c>
      <c r="B18" s="14" t="n">
        <v>24</v>
      </c>
      <c r="C18" s="14" t="n">
        <v>48</v>
      </c>
      <c r="D18" s="14" t="n">
        <v>96</v>
      </c>
      <c r="E18" s="7" t="s">
        <v>28</v>
      </c>
    </row>
    <row r="19" customFormat="false" ht="26.85" hidden="false" customHeight="false" outlineLevel="0" collapsed="false">
      <c r="A19" s="5" t="s">
        <v>29</v>
      </c>
      <c r="B19" s="14" t="n">
        <v>15</v>
      </c>
      <c r="C19" s="14" t="n">
        <v>30.45</v>
      </c>
      <c r="D19" s="14" t="n">
        <v>61</v>
      </c>
      <c r="E19" s="7" t="s">
        <v>30</v>
      </c>
    </row>
    <row r="20" customFormat="false" ht="15" hidden="false" customHeight="false" outlineLevel="0" collapsed="false">
      <c r="A20" s="5" t="s">
        <v>31</v>
      </c>
      <c r="B20" s="14" t="n">
        <v>5</v>
      </c>
      <c r="C20" s="14" t="n">
        <v>5</v>
      </c>
      <c r="D20" s="14" t="n">
        <v>10</v>
      </c>
      <c r="E20" s="7" t="s">
        <v>32</v>
      </c>
    </row>
    <row r="21" customFormat="false" ht="15" hidden="false" customHeight="false" outlineLevel="0" collapsed="false">
      <c r="A21" s="5" t="s">
        <v>33</v>
      </c>
      <c r="B21" s="14" t="n">
        <v>5</v>
      </c>
      <c r="C21" s="14" t="n">
        <v>10</v>
      </c>
      <c r="D21" s="14" t="n">
        <v>20</v>
      </c>
      <c r="E21" s="7" t="s">
        <v>34</v>
      </c>
    </row>
    <row r="22" customFormat="false" ht="15" hidden="false" customHeight="false" outlineLevel="0" collapsed="false">
      <c r="A22" s="5" t="s">
        <v>35</v>
      </c>
      <c r="B22" s="14" t="n">
        <v>0</v>
      </c>
      <c r="C22" s="14" t="n">
        <v>20</v>
      </c>
      <c r="D22" s="14" t="n">
        <v>20</v>
      </c>
      <c r="E22" s="7" t="s">
        <v>36</v>
      </c>
    </row>
    <row r="23" customFormat="false" ht="15" hidden="false" customHeight="false" outlineLevel="0" collapsed="false">
      <c r="A23" s="5" t="s">
        <v>37</v>
      </c>
      <c r="B23" s="14" t="n">
        <v>0</v>
      </c>
      <c r="C23" s="14" t="n">
        <v>0</v>
      </c>
      <c r="D23" s="14" t="n">
        <v>12</v>
      </c>
      <c r="E23" s="7" t="s">
        <v>38</v>
      </c>
    </row>
    <row r="24" customFormat="false" ht="15" hidden="false" customHeight="false" outlineLevel="0" collapsed="false">
      <c r="A24" s="5" t="s">
        <v>39</v>
      </c>
      <c r="B24" s="14" t="n">
        <v>1.25</v>
      </c>
      <c r="C24" s="14" t="n">
        <v>1.25</v>
      </c>
      <c r="D24" s="14" t="n">
        <v>1.25</v>
      </c>
      <c r="E24" s="7" t="s">
        <v>40</v>
      </c>
    </row>
    <row r="26" customFormat="false" ht="15" hidden="false" customHeight="false" outlineLevel="0" collapsed="false">
      <c r="A26" s="3" t="s">
        <v>41</v>
      </c>
      <c r="B26" s="4" t="s">
        <v>3</v>
      </c>
      <c r="C26" s="4" t="s">
        <v>4</v>
      </c>
      <c r="D26" s="4" t="s">
        <v>5</v>
      </c>
      <c r="E26" s="3" t="s">
        <v>6</v>
      </c>
    </row>
    <row r="27" customFormat="false" ht="15" hidden="false" customHeight="false" outlineLevel="0" collapsed="false">
      <c r="A27" s="5" t="s">
        <v>42</v>
      </c>
      <c r="B27" s="10" t="n">
        <v>5</v>
      </c>
      <c r="C27" s="10" t="n">
        <v>5</v>
      </c>
      <c r="D27" s="10" t="n">
        <v>5</v>
      </c>
      <c r="E27" s="7" t="s">
        <v>43</v>
      </c>
    </row>
    <row r="28" customFormat="false" ht="39.55" hidden="false" customHeight="false" outlineLevel="0" collapsed="false">
      <c r="A28" s="5" t="s">
        <v>44</v>
      </c>
      <c r="B28" s="15" t="n">
        <v>100</v>
      </c>
      <c r="C28" s="15" t="n">
        <v>300</v>
      </c>
      <c r="D28" s="15" t="n">
        <v>500</v>
      </c>
      <c r="E28" s="7" t="s">
        <v>45</v>
      </c>
    </row>
    <row r="29" customFormat="false" ht="15" hidden="false" customHeight="false" outlineLevel="0" collapsed="false">
      <c r="A29" s="5" t="s">
        <v>46</v>
      </c>
      <c r="B29" s="10" t="n">
        <v>0</v>
      </c>
      <c r="C29" s="10" t="n">
        <v>0</v>
      </c>
      <c r="D29" s="10" t="n">
        <v>1</v>
      </c>
      <c r="E29" s="7" t="s">
        <v>47</v>
      </c>
    </row>
    <row r="30" customFormat="false" ht="15" hidden="false" customHeight="false" outlineLevel="0" collapsed="false">
      <c r="A30" s="5" t="s">
        <v>48</v>
      </c>
      <c r="B30" s="16" t="n">
        <v>500</v>
      </c>
      <c r="C30" s="16" t="n">
        <v>500</v>
      </c>
      <c r="D30" s="16" t="n">
        <v>500</v>
      </c>
      <c r="E30" s="7" t="s">
        <v>49</v>
      </c>
    </row>
    <row r="31" customFormat="false" ht="15" hidden="false" customHeight="false" outlineLevel="0" collapsed="false">
      <c r="A31" s="5" t="s">
        <v>50</v>
      </c>
      <c r="B31" s="13" t="n">
        <v>0.06</v>
      </c>
      <c r="C31" s="13" t="n">
        <v>0.06</v>
      </c>
      <c r="D31" s="13" t="n">
        <v>0.07</v>
      </c>
      <c r="E31" s="7" t="s">
        <v>51</v>
      </c>
    </row>
    <row r="33" customFormat="false" ht="15" hidden="false" customHeight="false" outlineLevel="0" collapsed="false">
      <c r="A33" s="3" t="s">
        <v>52</v>
      </c>
      <c r="B33" s="4" t="s">
        <v>3</v>
      </c>
      <c r="C33" s="4" t="s">
        <v>4</v>
      </c>
      <c r="D33" s="4" t="s">
        <v>5</v>
      </c>
      <c r="E33" s="3" t="s">
        <v>6</v>
      </c>
    </row>
    <row r="34" customFormat="false" ht="15" hidden="false" customHeight="false" outlineLevel="0" collapsed="false">
      <c r="A34" s="5" t="s">
        <v>53</v>
      </c>
      <c r="B34" s="16" t="n">
        <v>100</v>
      </c>
      <c r="C34" s="16" t="n">
        <v>300</v>
      </c>
      <c r="D34" s="16" t="n">
        <v>600</v>
      </c>
      <c r="E34" s="7" t="s">
        <v>54</v>
      </c>
    </row>
    <row r="35" customFormat="false" ht="15" hidden="false" customHeight="false" outlineLevel="0" collapsed="false">
      <c r="A35" s="5" t="s">
        <v>55</v>
      </c>
      <c r="B35" s="16" t="n">
        <v>200</v>
      </c>
      <c r="C35" s="16" t="n">
        <v>500</v>
      </c>
      <c r="D35" s="16" t="n">
        <v>800</v>
      </c>
      <c r="E35" s="7" t="s">
        <v>56</v>
      </c>
    </row>
    <row r="36" customFormat="false" ht="15" hidden="false" customHeight="false" outlineLevel="0" collapsed="false">
      <c r="A36" s="5" t="s">
        <v>57</v>
      </c>
      <c r="B36" s="16" t="n">
        <v>0</v>
      </c>
      <c r="C36" s="16" t="n">
        <v>500</v>
      </c>
      <c r="D36" s="16" t="n">
        <v>1000</v>
      </c>
      <c r="E36" s="7" t="s">
        <v>58</v>
      </c>
    </row>
    <row r="37" customFormat="false" ht="15" hidden="false" customHeight="false" outlineLevel="0" collapsed="false">
      <c r="A37" s="5" t="s">
        <v>59</v>
      </c>
      <c r="B37" s="16" t="n">
        <v>5</v>
      </c>
      <c r="C37" s="16" t="n">
        <v>5</v>
      </c>
      <c r="D37" s="16" t="n">
        <v>5</v>
      </c>
      <c r="E37" s="7" t="s">
        <v>60</v>
      </c>
    </row>
    <row r="38" customFormat="false" ht="15" hidden="false" customHeight="false" outlineLevel="0" collapsed="false">
      <c r="A38" s="5" t="s">
        <v>61</v>
      </c>
      <c r="B38" s="13" t="n">
        <v>0.2</v>
      </c>
      <c r="C38" s="13" t="n">
        <v>0.2</v>
      </c>
      <c r="D38" s="13" t="n">
        <v>0.2</v>
      </c>
      <c r="E38" s="7" t="s">
        <v>56</v>
      </c>
    </row>
    <row r="40" customFormat="false" ht="15" hidden="false" customHeight="false" outlineLevel="0" collapsed="false">
      <c r="A40" s="3" t="s">
        <v>62</v>
      </c>
      <c r="B40" s="4" t="s">
        <v>3</v>
      </c>
      <c r="C40" s="4" t="s">
        <v>4</v>
      </c>
      <c r="D40" s="4" t="s">
        <v>5</v>
      </c>
      <c r="E40" s="3" t="s">
        <v>6</v>
      </c>
    </row>
    <row r="41" customFormat="false" ht="15" hidden="false" customHeight="false" outlineLevel="0" collapsed="false">
      <c r="A41" s="5" t="s">
        <v>63</v>
      </c>
      <c r="B41" s="16" t="n">
        <v>20</v>
      </c>
      <c r="C41" s="16" t="n">
        <v>20</v>
      </c>
      <c r="D41" s="16" t="n">
        <v>20</v>
      </c>
      <c r="E41" s="7" t="s">
        <v>64</v>
      </c>
    </row>
    <row r="42" customFormat="false" ht="15" hidden="false" customHeight="false" outlineLevel="0" collapsed="false">
      <c r="A42" s="5" t="s">
        <v>65</v>
      </c>
      <c r="B42" s="16" t="n">
        <v>840</v>
      </c>
      <c r="C42" s="16" t="n">
        <v>0</v>
      </c>
      <c r="D42" s="16" t="n">
        <v>0</v>
      </c>
      <c r="E42" s="7" t="s">
        <v>66</v>
      </c>
    </row>
    <row r="43" customFormat="false" ht="15" hidden="false" customHeight="false" outlineLevel="0" collapsed="false">
      <c r="A43" s="5" t="s">
        <v>67</v>
      </c>
      <c r="B43" s="16" t="n">
        <v>0</v>
      </c>
      <c r="C43" s="16" t="n">
        <v>50</v>
      </c>
      <c r="D43" s="16" t="n">
        <v>100</v>
      </c>
      <c r="E43" s="7" t="s">
        <v>68</v>
      </c>
    </row>
    <row r="44" customFormat="false" ht="15" hidden="false" customHeight="false" outlineLevel="0" collapsed="false">
      <c r="A44" s="5" t="s">
        <v>69</v>
      </c>
      <c r="B44" s="16" t="n">
        <v>0</v>
      </c>
      <c r="C44" s="16" t="n">
        <v>0</v>
      </c>
      <c r="D44" s="16" t="n">
        <v>150</v>
      </c>
      <c r="E44" s="7" t="s">
        <v>70</v>
      </c>
    </row>
    <row r="45" customFormat="false" ht="26.85" hidden="false" customHeight="false" outlineLevel="0" collapsed="false">
      <c r="A45" s="5" t="s">
        <v>71</v>
      </c>
      <c r="B45" s="12" t="n">
        <v>1</v>
      </c>
      <c r="C45" s="12" t="n">
        <v>1</v>
      </c>
      <c r="D45" s="12" t="n">
        <v>1</v>
      </c>
      <c r="E45" s="7" t="s">
        <v>72</v>
      </c>
    </row>
    <row r="46" customFormat="false" ht="26.85" hidden="false" customHeight="false" outlineLevel="0" collapsed="false">
      <c r="A46" s="5" t="s">
        <v>73</v>
      </c>
      <c r="B46" s="13" t="n">
        <v>0.1</v>
      </c>
      <c r="C46" s="13" t="n">
        <v>0.1</v>
      </c>
      <c r="D46" s="13" t="n">
        <v>0.1</v>
      </c>
      <c r="E46" s="7" t="s">
        <v>74</v>
      </c>
    </row>
    <row r="47" customFormat="false" ht="26.85" hidden="false" customHeight="false" outlineLevel="0" collapsed="false">
      <c r="A47" s="5" t="s">
        <v>75</v>
      </c>
      <c r="B47" s="13" t="n">
        <v>0.2</v>
      </c>
      <c r="C47" s="13" t="n">
        <v>0.2</v>
      </c>
      <c r="D47" s="13" t="n">
        <v>0.2</v>
      </c>
      <c r="E47" s="7" t="s">
        <v>76</v>
      </c>
    </row>
    <row r="48" customFormat="false" ht="26.85" hidden="false" customHeight="false" outlineLevel="0" collapsed="false">
      <c r="A48" s="5" t="s">
        <v>77</v>
      </c>
      <c r="B48" s="13" t="n">
        <v>0.01</v>
      </c>
      <c r="C48" s="13" t="n">
        <v>0.01</v>
      </c>
      <c r="D48" s="13" t="n">
        <v>0.01</v>
      </c>
      <c r="E48" s="7" t="s">
        <v>78</v>
      </c>
    </row>
    <row r="49" customFormat="false" ht="15" hidden="false" customHeight="false" outlineLevel="0" collapsed="false">
      <c r="A49" s="5" t="s">
        <v>79</v>
      </c>
      <c r="B49" s="16" t="n">
        <v>300</v>
      </c>
      <c r="C49" s="16" t="n">
        <v>300</v>
      </c>
      <c r="D49" s="16" t="n">
        <v>300</v>
      </c>
      <c r="E49" s="7" t="s">
        <v>80</v>
      </c>
    </row>
    <row r="50" customFormat="false" ht="15" hidden="false" customHeight="false" outlineLevel="0" collapsed="false">
      <c r="A50" s="5" t="s">
        <v>81</v>
      </c>
      <c r="B50" s="13" t="n">
        <v>0.14</v>
      </c>
      <c r="C50" s="13" t="n">
        <v>0.14</v>
      </c>
      <c r="D50" s="13" t="n">
        <v>0.14</v>
      </c>
      <c r="E50" s="7" t="s">
        <v>82</v>
      </c>
    </row>
    <row r="51" customFormat="false" ht="15" hidden="false" customHeight="false" outlineLevel="0" collapsed="false">
      <c r="A51" s="5" t="s">
        <v>83</v>
      </c>
      <c r="B51" s="16" t="n">
        <v>1000</v>
      </c>
      <c r="C51" s="16" t="n">
        <v>1000</v>
      </c>
      <c r="D51" s="16" t="n">
        <v>1000</v>
      </c>
      <c r="E51" s="7" t="s">
        <v>84</v>
      </c>
    </row>
    <row r="53" customFormat="false" ht="15" hidden="false" customHeight="false" outlineLevel="0" collapsed="false">
      <c r="A53" s="3" t="s">
        <v>85</v>
      </c>
      <c r="B53" s="4" t="s">
        <v>3</v>
      </c>
      <c r="C53" s="4" t="s">
        <v>4</v>
      </c>
      <c r="D53" s="4" t="s">
        <v>5</v>
      </c>
      <c r="E53" s="3" t="s">
        <v>6</v>
      </c>
    </row>
    <row r="54" customFormat="false" ht="15" hidden="false" customHeight="false" outlineLevel="0" collapsed="false">
      <c r="A54" s="5" t="s">
        <v>86</v>
      </c>
      <c r="B54" s="17" t="n">
        <f aca="false">B5*B7</f>
        <v>57.6</v>
      </c>
      <c r="C54" s="17" t="n">
        <f aca="false">C5*C7</f>
        <v>418.85</v>
      </c>
      <c r="D54" s="17" t="n">
        <f aca="false">D5*D7</f>
        <v>1129.07</v>
      </c>
      <c r="E54" s="7"/>
    </row>
    <row r="55" customFormat="false" ht="15" hidden="false" customHeight="false" outlineLevel="0" collapsed="false">
      <c r="A55" s="5" t="s">
        <v>87</v>
      </c>
      <c r="B55" s="17" t="n">
        <f aca="false">B5</f>
        <v>57.6</v>
      </c>
      <c r="C55" s="17" t="n">
        <f aca="false">C5-B5</f>
        <v>361.25</v>
      </c>
      <c r="D55" s="17" t="n">
        <f aca="false">D5-C5</f>
        <v>710.22</v>
      </c>
      <c r="E55" s="7" t="s">
        <v>88</v>
      </c>
    </row>
    <row r="56" customFormat="false" ht="15" hidden="false" customHeight="false" outlineLevel="0" collapsed="false">
      <c r="A56" s="5" t="s">
        <v>89</v>
      </c>
      <c r="B56" s="18" t="n">
        <f aca="false">(B5+B54)*B11*B12*B13*B10</f>
        <v>10368</v>
      </c>
      <c r="C56" s="18" t="n">
        <f aca="false">(C5+C54)*C11*C12*C13*C10</f>
        <v>226179</v>
      </c>
      <c r="D56" s="18" t="n">
        <f aca="false">(D5+D54)*D11*D12*D13*D10</f>
        <v>812930.4</v>
      </c>
      <c r="E56" s="7" t="s">
        <v>90</v>
      </c>
    </row>
    <row r="57" customFormat="false" ht="15" hidden="false" customHeight="false" outlineLevel="0" collapsed="false">
      <c r="A57" s="5" t="s">
        <v>91</v>
      </c>
      <c r="B57" s="18" t="n">
        <f aca="false">(B18+B19+B20+B21+B22+B23+B24)*12*(1+B50)</f>
        <v>687.42</v>
      </c>
      <c r="C57" s="18" t="n">
        <f aca="false">(C18+C19+C20+C21+C22+C23+C24)*12*(1+C50)</f>
        <v>1569.096</v>
      </c>
      <c r="D57" s="18" t="n">
        <f aca="false">(D18+D19+D20+D21+D22+D23+D24)*12*(1+D50)</f>
        <v>3013.02</v>
      </c>
      <c r="E57" s="7"/>
    </row>
    <row r="59" customFormat="false" ht="15" hidden="false" customHeight="false" outlineLevel="0" collapsed="false">
      <c r="A59" s="3" t="s">
        <v>92</v>
      </c>
      <c r="B59" s="4" t="s">
        <v>3</v>
      </c>
      <c r="C59" s="4" t="s">
        <v>4</v>
      </c>
      <c r="D59" s="4" t="s">
        <v>5</v>
      </c>
      <c r="E59" s="3" t="s">
        <v>6</v>
      </c>
    </row>
    <row r="60" customFormat="false" ht="15" hidden="false" customHeight="false" outlineLevel="0" collapsed="false">
      <c r="A60" s="5" t="s">
        <v>93</v>
      </c>
      <c r="B60" s="18" t="n">
        <f aca="false">B5*B6*12/(1+B46*B45)</f>
        <v>3141.81818181818</v>
      </c>
      <c r="C60" s="18" t="n">
        <f aca="false">C5*C6*12/(1+C46*C45)</f>
        <v>22846.3636363636</v>
      </c>
      <c r="D60" s="18" t="n">
        <f aca="false">D5*D6*12/(1+D46*D45)</f>
        <v>61585.6363636364</v>
      </c>
      <c r="E60" s="7" t="s">
        <v>94</v>
      </c>
    </row>
    <row r="61" customFormat="false" ht="15" hidden="false" customHeight="false" outlineLevel="0" collapsed="false">
      <c r="A61" s="5" t="s">
        <v>95</v>
      </c>
      <c r="B61" s="18" t="n">
        <f aca="false">B57</f>
        <v>687.42</v>
      </c>
      <c r="C61" s="18" t="n">
        <f aca="false">C57</f>
        <v>1569.096</v>
      </c>
      <c r="D61" s="18" t="n">
        <f aca="false">D57</f>
        <v>3013.02</v>
      </c>
      <c r="E61" s="7"/>
    </row>
    <row r="62" customFormat="false" ht="15" hidden="false" customHeight="false" outlineLevel="0" collapsed="false">
      <c r="A62" s="19" t="s">
        <v>96</v>
      </c>
      <c r="B62" s="20" t="n">
        <f aca="false">B60-B61</f>
        <v>2454.39818181818</v>
      </c>
      <c r="C62" s="20" t="n">
        <f aca="false">C60-C61</f>
        <v>21277.2676363636</v>
      </c>
      <c r="D62" s="20" t="n">
        <f aca="false">D60-D61</f>
        <v>58572.6163636364</v>
      </c>
      <c r="E62" s="7"/>
    </row>
    <row r="63" customFormat="false" ht="15" hidden="false" customHeight="false" outlineLevel="0" collapsed="false">
      <c r="A63" s="5" t="s">
        <v>97</v>
      </c>
      <c r="B63" s="18" t="n">
        <f aca="false">(B27*B28*12+B29*B30*12)*(1+B31)</f>
        <v>6360</v>
      </c>
      <c r="C63" s="18" t="n">
        <f aca="false">(C27*C28*12+C29*C30*12)*(1+C31)</f>
        <v>19080</v>
      </c>
      <c r="D63" s="18" t="n">
        <f aca="false">(D27*D28*12+D29*D30*12)*(1+D31)</f>
        <v>38520</v>
      </c>
      <c r="E63" s="7"/>
    </row>
    <row r="64" customFormat="false" ht="15" hidden="false" customHeight="false" outlineLevel="0" collapsed="false">
      <c r="A64" s="5" t="s">
        <v>98</v>
      </c>
      <c r="B64" s="18" t="n">
        <f aca="false">B34*12*(1+B50)+B35+B36+B55*B38*B37</f>
        <v>1625.6</v>
      </c>
      <c r="C64" s="18" t="n">
        <f aca="false">C34*12*(1+C50)+C35+C36+C55*C38*C37</f>
        <v>5465.25</v>
      </c>
      <c r="D64" s="18" t="n">
        <f aca="false">D34*12*(1+D50)+D35+D36+D55*D38*D37</f>
        <v>10718.22</v>
      </c>
      <c r="E64" s="7"/>
    </row>
    <row r="65" customFormat="false" ht="15" hidden="false" customHeight="false" outlineLevel="0" collapsed="false">
      <c r="A65" s="5" t="s">
        <v>99</v>
      </c>
      <c r="B65" s="18" t="n">
        <f aca="false">B41*B27*12*(1+B50)+B42+B43*12+B44*12+B49</f>
        <v>2508</v>
      </c>
      <c r="C65" s="18" t="n">
        <f aca="false">C41*C27*12*(1+C50)+C42+C43*12+C44*12+C49</f>
        <v>2268</v>
      </c>
      <c r="D65" s="18" t="n">
        <f aca="false">D41*D27*12*(1+D50)+D42+D43*12+D44*12+D49</f>
        <v>4668</v>
      </c>
      <c r="E65" s="7"/>
    </row>
    <row r="66" customFormat="false" ht="15" hidden="false" customHeight="false" outlineLevel="0" collapsed="false">
      <c r="A66" s="19" t="s">
        <v>100</v>
      </c>
      <c r="B66" s="20" t="n">
        <f aca="false">B62-B63-B64-B65</f>
        <v>-8039.20181818182</v>
      </c>
      <c r="C66" s="20" t="n">
        <f aca="false">C62-C63-C64-C65</f>
        <v>-5535.98236363637</v>
      </c>
      <c r="D66" s="20" t="n">
        <f aca="false">D62-D63-D64-D65</f>
        <v>4666.39636363635</v>
      </c>
      <c r="E66" s="7"/>
    </row>
    <row r="67" customFormat="false" ht="15" hidden="false" customHeight="false" outlineLevel="0" collapsed="false">
      <c r="A67" s="5" t="s">
        <v>101</v>
      </c>
      <c r="B67" s="18" t="n">
        <f aca="false">B66</f>
        <v>-8039.20181818182</v>
      </c>
      <c r="C67" s="18" t="n">
        <f aca="false">B67+C66</f>
        <v>-13575.1841818182</v>
      </c>
      <c r="D67" s="18" t="n">
        <f aca="false">C67+D66</f>
        <v>-8908.78781818183</v>
      </c>
      <c r="E67" s="7"/>
    </row>
    <row r="68" customFormat="false" ht="15" hidden="false" customHeight="false" outlineLevel="0" collapsed="false">
      <c r="A68" s="5" t="s">
        <v>75</v>
      </c>
      <c r="B68" s="18" t="n">
        <f aca="false">MAX(B48*B60,B47*MAX(0,MIN(B66,B67)))</f>
        <v>31.4181818181818</v>
      </c>
      <c r="C68" s="18" t="n">
        <f aca="false">MAX(C48*C60,C47*MAX(0,MIN(C66,C67)))</f>
        <v>228.463636363636</v>
      </c>
      <c r="D68" s="18" t="n">
        <f aca="false">MAX(D48*D60,D47*MAX(0,MIN(D66,D67)))</f>
        <v>615.856363636364</v>
      </c>
      <c r="E68" s="7" t="s">
        <v>102</v>
      </c>
    </row>
    <row r="69" customFormat="false" ht="15" hidden="false" customHeight="false" outlineLevel="0" collapsed="false">
      <c r="A69" s="19" t="s">
        <v>103</v>
      </c>
      <c r="B69" s="20" t="n">
        <f aca="false">B66-B68</f>
        <v>-8070.62</v>
      </c>
      <c r="C69" s="20" t="n">
        <f aca="false">C66-C68</f>
        <v>-5764.446</v>
      </c>
      <c r="D69" s="20" t="n">
        <f aca="false">D66-D68</f>
        <v>4050.53999999999</v>
      </c>
      <c r="E69" s="7"/>
    </row>
    <row r="70" customFormat="false" ht="15" hidden="false" customHeight="false" outlineLevel="0" collapsed="false">
      <c r="A70" s="5" t="s">
        <v>104</v>
      </c>
      <c r="B70" s="18" t="n">
        <f aca="false">B69</f>
        <v>-8070.62</v>
      </c>
      <c r="C70" s="18" t="n">
        <f aca="false">B70+C69</f>
        <v>-13835.066</v>
      </c>
      <c r="D70" s="18" t="n">
        <f aca="false">C70+D69</f>
        <v>-9784.52600000002</v>
      </c>
      <c r="E70" s="7"/>
    </row>
    <row r="72" customFormat="false" ht="15" hidden="false" customHeight="false" outlineLevel="0" collapsed="false">
      <c r="A72" s="3" t="s">
        <v>105</v>
      </c>
      <c r="B72" s="4" t="s">
        <v>3</v>
      </c>
      <c r="C72" s="4" t="s">
        <v>4</v>
      </c>
      <c r="D72" s="4" t="s">
        <v>5</v>
      </c>
      <c r="E72" s="3" t="s">
        <v>6</v>
      </c>
    </row>
    <row r="73" customFormat="false" ht="15" hidden="false" customHeight="false" outlineLevel="0" collapsed="false">
      <c r="A73" s="5" t="s">
        <v>106</v>
      </c>
      <c r="B73" s="18" t="n">
        <f aca="false">B60</f>
        <v>3141.81818181818</v>
      </c>
      <c r="C73" s="18" t="n">
        <f aca="false">C60</f>
        <v>22846.3636363636</v>
      </c>
      <c r="D73" s="18" t="n">
        <f aca="false">D60</f>
        <v>61585.6363636364</v>
      </c>
      <c r="E73" s="7"/>
    </row>
    <row r="74" customFormat="false" ht="15" hidden="false" customHeight="false" outlineLevel="0" collapsed="false">
      <c r="A74" s="5" t="s">
        <v>107</v>
      </c>
      <c r="B74" s="18" t="n">
        <f aca="false">B56*B14/(1+B46*B45)</f>
        <v>282.763636363636</v>
      </c>
      <c r="C74" s="18" t="n">
        <f aca="false">C56*C14/(1+C46*C45)</f>
        <v>6168.51818181818</v>
      </c>
      <c r="D74" s="18" t="n">
        <f aca="false">D56*D14/(1+D46*D45)</f>
        <v>22170.8290909091</v>
      </c>
      <c r="E74" s="7"/>
    </row>
    <row r="75" customFormat="false" ht="15" hidden="false" customHeight="false" outlineLevel="0" collapsed="false">
      <c r="A75" s="5" t="s">
        <v>108</v>
      </c>
      <c r="B75" s="18" t="n">
        <f aca="false">B73+B74</f>
        <v>3424.58181818182</v>
      </c>
      <c r="C75" s="18" t="n">
        <f aca="false">C73+C74</f>
        <v>29014.8818181818</v>
      </c>
      <c r="D75" s="18" t="n">
        <f aca="false">D73+D74</f>
        <v>83756.4654545454</v>
      </c>
      <c r="E75" s="7"/>
    </row>
    <row r="76" customFormat="false" ht="15" hidden="false" customHeight="false" outlineLevel="0" collapsed="false">
      <c r="A76" s="5" t="s">
        <v>109</v>
      </c>
      <c r="B76" s="18" t="n">
        <f aca="false">B57+B56*B15</f>
        <v>739.26</v>
      </c>
      <c r="C76" s="18" t="n">
        <f aca="false">C57+C56*C15</f>
        <v>2699.991</v>
      </c>
      <c r="D76" s="18" t="n">
        <f aca="false">D57+D56*D15</f>
        <v>7077.672</v>
      </c>
      <c r="E76" s="7"/>
    </row>
    <row r="77" customFormat="false" ht="15" hidden="false" customHeight="false" outlineLevel="0" collapsed="false">
      <c r="A77" s="19" t="s">
        <v>96</v>
      </c>
      <c r="B77" s="20" t="n">
        <f aca="false">B75-B76</f>
        <v>2685.32181818182</v>
      </c>
      <c r="C77" s="20" t="n">
        <f aca="false">C75-C76</f>
        <v>26314.8908181818</v>
      </c>
      <c r="D77" s="20" t="n">
        <f aca="false">D75-D76</f>
        <v>76678.7934545454</v>
      </c>
      <c r="E77" s="7"/>
    </row>
    <row r="78" customFormat="false" ht="15" hidden="false" customHeight="false" outlineLevel="0" collapsed="false">
      <c r="A78" s="5" t="s">
        <v>110</v>
      </c>
      <c r="B78" s="18" t="n">
        <f aca="false">B63+B64+B65</f>
        <v>10493.6</v>
      </c>
      <c r="C78" s="18" t="n">
        <f aca="false">C63+C64+C65</f>
        <v>26813.25</v>
      </c>
      <c r="D78" s="18" t="n">
        <f aca="false">D63+D64+D65</f>
        <v>53906.22</v>
      </c>
      <c r="E78" s="7"/>
    </row>
    <row r="79" customFormat="false" ht="15" hidden="false" customHeight="false" outlineLevel="0" collapsed="false">
      <c r="A79" s="19" t="s">
        <v>100</v>
      </c>
      <c r="B79" s="20" t="n">
        <f aca="false">B77-B78</f>
        <v>-7808.27818181818</v>
      </c>
      <c r="C79" s="20" t="n">
        <f aca="false">C77-C78</f>
        <v>-498.359181818181</v>
      </c>
      <c r="D79" s="20" t="n">
        <f aca="false">D77-D78</f>
        <v>22772.5734545454</v>
      </c>
      <c r="E79" s="7"/>
    </row>
    <row r="80" customFormat="false" ht="15" hidden="false" customHeight="false" outlineLevel="0" collapsed="false">
      <c r="A80" s="5" t="s">
        <v>101</v>
      </c>
      <c r="B80" s="18" t="n">
        <f aca="false">B79</f>
        <v>-7808.27818181818</v>
      </c>
      <c r="C80" s="18" t="n">
        <f aca="false">B80+C79</f>
        <v>-8306.63736363636</v>
      </c>
      <c r="D80" s="18" t="n">
        <f aca="false">C80+D79</f>
        <v>14465.9360909091</v>
      </c>
      <c r="E80" s="7"/>
    </row>
    <row r="81" customFormat="false" ht="15" hidden="false" customHeight="false" outlineLevel="0" collapsed="false">
      <c r="A81" s="5" t="s">
        <v>75</v>
      </c>
      <c r="B81" s="18" t="n">
        <f aca="false">MAX(B48*B75,B47*MAX(0,MIN(B79,B80)))</f>
        <v>34.2458181818182</v>
      </c>
      <c r="C81" s="18" t="n">
        <f aca="false">MAX(C48*C75,C47*MAX(0,MIN(C79,C80)))</f>
        <v>290.148818181818</v>
      </c>
      <c r="D81" s="18" t="n">
        <f aca="false">MAX(D48*D75,D47*MAX(0,MIN(D79,D80)))</f>
        <v>2893.18721818181</v>
      </c>
      <c r="E81" s="7"/>
    </row>
    <row r="82" customFormat="false" ht="15" hidden="false" customHeight="false" outlineLevel="0" collapsed="false">
      <c r="A82" s="19" t="s">
        <v>103</v>
      </c>
      <c r="B82" s="20" t="n">
        <f aca="false">B79-B81</f>
        <v>-7842.524</v>
      </c>
      <c r="C82" s="20" t="n">
        <f aca="false">C79-C81</f>
        <v>-788.508</v>
      </c>
      <c r="D82" s="20" t="n">
        <f aca="false">D79-D81</f>
        <v>19879.3862363636</v>
      </c>
      <c r="E82" s="7"/>
    </row>
    <row r="84" customFormat="false" ht="15" hidden="false" customHeight="false" outlineLevel="0" collapsed="false">
      <c r="A84" s="3" t="s">
        <v>111</v>
      </c>
      <c r="B84" s="4" t="s">
        <v>3</v>
      </c>
      <c r="C84" s="4" t="s">
        <v>4</v>
      </c>
      <c r="D84" s="4" t="s">
        <v>5</v>
      </c>
      <c r="E84" s="3" t="s">
        <v>6</v>
      </c>
    </row>
    <row r="85" customFormat="false" ht="15" hidden="false" customHeight="false" outlineLevel="0" collapsed="false">
      <c r="A85" s="5" t="s">
        <v>112</v>
      </c>
      <c r="B85" s="21" t="n">
        <f aca="false">(B63+B64+B65+B61)/(B6*12/(1+B46*B45))</f>
        <v>204.985366666667</v>
      </c>
      <c r="C85" s="21" t="n">
        <f aca="false">(C63+C64+C65+C61)/(C6*12/(1+C46*C45))</f>
        <v>520.34301</v>
      </c>
      <c r="D85" s="21" t="n">
        <f aca="false">(D63+D64+D65+D61)/(D6*12/(1+D46*D45))</f>
        <v>1043.5194</v>
      </c>
      <c r="E85" s="7" t="s">
        <v>113</v>
      </c>
    </row>
    <row r="86" customFormat="false" ht="15" hidden="false" customHeight="false" outlineLevel="0" collapsed="false">
      <c r="A86" s="5" t="s">
        <v>114</v>
      </c>
      <c r="B86" s="22" t="n">
        <f aca="false">B85/65433</f>
        <v>0.00313275207718837</v>
      </c>
      <c r="C86" s="22" t="n">
        <f aca="false">C85/65433</f>
        <v>0.00795230250790885</v>
      </c>
      <c r="D86" s="22" t="n">
        <f aca="false">D85/65433</f>
        <v>0.0159479070193939</v>
      </c>
      <c r="E86" s="7" t="s">
        <v>115</v>
      </c>
    </row>
    <row r="87" customFormat="false" ht="15" hidden="false" customHeight="false" outlineLevel="0" collapsed="false">
      <c r="A87" s="5" t="s">
        <v>116</v>
      </c>
      <c r="B87" s="18" t="n">
        <f aca="false">-MIN(0,MIN($B$70:B70))</f>
        <v>8070.62</v>
      </c>
      <c r="C87" s="18" t="n">
        <f aca="false">-MIN(0,MIN($B$70:C70))</f>
        <v>13835.066</v>
      </c>
      <c r="D87" s="18" t="n">
        <f aca="false">-MIN(0,MIN($B$70:D70))</f>
        <v>13835.066</v>
      </c>
      <c r="E87" s="7" t="s">
        <v>117</v>
      </c>
    </row>
    <row r="88" customFormat="false" ht="26.85" hidden="false" customHeight="false" outlineLevel="0" collapsed="false">
      <c r="A88" s="5" t="s">
        <v>118</v>
      </c>
      <c r="B88" s="18" t="n">
        <f aca="false">B69-B27*(B51-B28)*12*(1+B31)*(1-IF(B66&gt;0,B47,0))</f>
        <v>-65310.62</v>
      </c>
      <c r="C88" s="18" t="n">
        <f aca="false">C69-C27*(C51-C28)*12*(1+C31)*(1-IF(C66&gt;0,C47,0))</f>
        <v>-50284.446</v>
      </c>
      <c r="D88" s="18" t="n">
        <f aca="false">D69-D27*(D51-D28)*12*(1+D31)*(1-IF(D66&gt;0,D47,0))</f>
        <v>-21629.46</v>
      </c>
      <c r="E88" s="7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2026-09-25T18:27:49Z</dcterms:created>
  <dc:creator>openpyxl</dc:creator>
  <dc:description/>
  <dc:language>en-US</dc:language>
  <cp:lastModifiedBy/>
  <dcterms:modified xsi:type="dcterms:W3CDTF">2026-09-25T18:27:49Z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